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updateLinks="always"/>
  <mc:AlternateContent xmlns:mc="http://schemas.openxmlformats.org/markup-compatibility/2006">
    <mc:Choice Requires="x15">
      <x15ac:absPath xmlns:x15ac="http://schemas.microsoft.com/office/spreadsheetml/2010/11/ac" url="https://atlasanalyticsinc-my.sharepoint.com/personal/jake_atlasanalytics_com/Documents/Data/Data Ops/"/>
    </mc:Choice>
  </mc:AlternateContent>
  <xr:revisionPtr revIDLastSave="0" documentId="8_{0E9FAA72-1DAC-40E8-BAA0-8EDDD27B6FC4}" xr6:coauthVersionLast="47" xr6:coauthVersionMax="47" xr10:uidLastSave="{00000000-0000-0000-0000-000000000000}"/>
  <bookViews>
    <workbookView xWindow="28680" yWindow="-120" windowWidth="38640" windowHeight="21120" xr2:uid="{99CB8D72-E293-7B4F-9BC0-872764AC7C06}"/>
  </bookViews>
  <sheets>
    <sheet name="Contents" sheetId="6" r:id="rId1"/>
    <sheet name="Quarterly Time Series" sheetId="1" r:id="rId2"/>
    <sheet name="Weekly Time Series" sheetId="31" r:id="rId3"/>
    <sheet name="Weekly Financial Targets" sheetId="3" r:id="rId4"/>
    <sheet name="NX Results" sheetId="4" r:id="rId5"/>
    <sheet name="PI Results" sheetId="32" r:id="rId6"/>
  </sheets>
  <definedNames>
    <definedName name="_xlnm.Print_Area" localSheetId="3">'Weekly Financial Targets'!#REF!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0" i="31" l="1"/>
  <c r="D60" i="31"/>
  <c r="J59" i="31"/>
  <c r="B4" i="3"/>
  <c r="D59" i="31"/>
  <c r="J58" i="31"/>
  <c r="D58" i="31"/>
  <c r="J57" i="31"/>
  <c r="D57" i="31"/>
  <c r="J56" i="31"/>
  <c r="D56" i="31"/>
  <c r="J55" i="31"/>
  <c r="D55" i="31"/>
  <c r="J54" i="31"/>
  <c r="D54" i="31"/>
  <c r="J53" i="31"/>
  <c r="C70" i="32"/>
  <c r="B70" i="32"/>
  <c r="D70" i="32" s="1"/>
  <c r="C70" i="4"/>
  <c r="B70" i="4"/>
  <c r="D70" i="4" s="1"/>
  <c r="J52" i="31"/>
  <c r="B18" i="3"/>
  <c r="J51" i="31"/>
  <c r="J50" i="31"/>
  <c r="E50" i="31"/>
  <c r="D50" i="31"/>
  <c r="C69" i="32"/>
  <c r="B69" i="32"/>
  <c r="D69" i="32" s="1"/>
  <c r="C68" i="32"/>
  <c r="B68" i="32"/>
  <c r="D68" i="32" s="1"/>
  <c r="C67" i="32"/>
  <c r="D67" i="32" s="1"/>
  <c r="C66" i="32"/>
  <c r="D66" i="32" s="1"/>
  <c r="C65" i="32"/>
  <c r="B65" i="32"/>
  <c r="D65" i="32" s="1"/>
  <c r="C64" i="32"/>
  <c r="B64" i="32"/>
  <c r="D64" i="32" s="1"/>
  <c r="C63" i="32"/>
  <c r="B63" i="32"/>
  <c r="D63" i="32" s="1"/>
  <c r="C62" i="32"/>
  <c r="B62" i="32"/>
  <c r="D62" i="32" s="1"/>
  <c r="C61" i="32"/>
  <c r="B61" i="32"/>
  <c r="D61" i="32" s="1"/>
  <c r="C60" i="32"/>
  <c r="B60" i="32"/>
  <c r="D60" i="32" s="1"/>
  <c r="C59" i="32"/>
  <c r="B59" i="32"/>
  <c r="D59" i="32" s="1"/>
  <c r="C58" i="32"/>
  <c r="B58" i="32"/>
  <c r="D58" i="32" s="1"/>
  <c r="C57" i="32"/>
  <c r="B57" i="32"/>
  <c r="D57" i="32" s="1"/>
  <c r="C56" i="32"/>
  <c r="B56" i="32"/>
  <c r="D56" i="32" s="1"/>
  <c r="C55" i="32"/>
  <c r="B55" i="32"/>
  <c r="D55" i="32" s="1"/>
  <c r="C54" i="32"/>
  <c r="B54" i="32"/>
  <c r="D54" i="32" s="1"/>
  <c r="C53" i="32"/>
  <c r="B53" i="32"/>
  <c r="D53" i="32" s="1"/>
  <c r="C52" i="32"/>
  <c r="B52" i="32"/>
  <c r="D52" i="32" s="1"/>
  <c r="C51" i="32"/>
  <c r="B51" i="32"/>
  <c r="D51" i="32" s="1"/>
  <c r="C50" i="32"/>
  <c r="B50" i="32"/>
  <c r="D50" i="32" s="1"/>
  <c r="C49" i="32"/>
  <c r="B49" i="32"/>
  <c r="D49" i="32" s="1"/>
  <c r="C48" i="32"/>
  <c r="B48" i="32"/>
  <c r="D48" i="32" s="1"/>
  <c r="C47" i="32"/>
  <c r="B47" i="32"/>
  <c r="D47" i="32" s="1"/>
  <c r="C46" i="32"/>
  <c r="B46" i="32"/>
  <c r="D46" i="32" s="1"/>
  <c r="C45" i="32"/>
  <c r="B45" i="32"/>
  <c r="D45" i="32" s="1"/>
  <c r="C44" i="32"/>
  <c r="B44" i="32"/>
  <c r="D44" i="32" s="1"/>
  <c r="C43" i="32"/>
  <c r="B43" i="32"/>
  <c r="D43" i="32" s="1"/>
  <c r="C42" i="32"/>
  <c r="B42" i="32"/>
  <c r="D42" i="32" s="1"/>
  <c r="C41" i="32"/>
  <c r="B41" i="32"/>
  <c r="D41" i="32" s="1"/>
  <c r="C40" i="32"/>
  <c r="B40" i="32"/>
  <c r="D40" i="32" s="1"/>
  <c r="C39" i="32"/>
  <c r="B39" i="32"/>
  <c r="D39" i="32" s="1"/>
  <c r="C38" i="32"/>
  <c r="B38" i="32"/>
  <c r="D38" i="32" s="1"/>
  <c r="C37" i="32"/>
  <c r="B37" i="32"/>
  <c r="D37" i="32" s="1"/>
  <c r="C36" i="32"/>
  <c r="B36" i="32"/>
  <c r="D36" i="32" s="1"/>
  <c r="C35" i="32"/>
  <c r="B35" i="32"/>
  <c r="D35" i="32" s="1"/>
  <c r="C34" i="32"/>
  <c r="B34" i="32"/>
  <c r="D34" i="32" s="1"/>
  <c r="C33" i="32"/>
  <c r="B33" i="32"/>
  <c r="D33" i="32" s="1"/>
  <c r="C32" i="32"/>
  <c r="B32" i="32"/>
  <c r="D32" i="32" s="1"/>
  <c r="C31" i="32"/>
  <c r="B31" i="32"/>
  <c r="D31" i="32" s="1"/>
  <c r="C30" i="32"/>
  <c r="B30" i="32"/>
  <c r="D30" i="32" s="1"/>
  <c r="C29" i="32"/>
  <c r="B29" i="32"/>
  <c r="D29" i="32" s="1"/>
  <c r="C28" i="32"/>
  <c r="B28" i="32"/>
  <c r="D28" i="32" s="1"/>
  <c r="C27" i="32"/>
  <c r="B27" i="32"/>
  <c r="D27" i="32" s="1"/>
  <c r="C26" i="32"/>
  <c r="B26" i="32"/>
  <c r="D26" i="32" s="1"/>
  <c r="C25" i="32"/>
  <c r="B25" i="32"/>
  <c r="D25" i="32" s="1"/>
  <c r="C24" i="32"/>
  <c r="B24" i="32"/>
  <c r="D24" i="32" s="1"/>
  <c r="C23" i="32"/>
  <c r="B23" i="32"/>
  <c r="D23" i="32" s="1"/>
  <c r="C22" i="32"/>
  <c r="B22" i="32"/>
  <c r="D22" i="32" s="1"/>
  <c r="C21" i="32"/>
  <c r="B21" i="32"/>
  <c r="D21" i="32" s="1"/>
  <c r="C20" i="32"/>
  <c r="B20" i="32"/>
  <c r="D20" i="32" s="1"/>
  <c r="C19" i="32"/>
  <c r="B19" i="32"/>
  <c r="D19" i="32" s="1"/>
  <c r="C18" i="32"/>
  <c r="B18" i="32"/>
  <c r="D18" i="32" s="1"/>
  <c r="C17" i="32"/>
  <c r="B17" i="32"/>
  <c r="D17" i="32" s="1"/>
  <c r="C16" i="32"/>
  <c r="B16" i="32"/>
  <c r="D16" i="32" s="1"/>
  <c r="C15" i="32"/>
  <c r="B15" i="32"/>
  <c r="D15" i="32" s="1"/>
  <c r="C14" i="32"/>
  <c r="B14" i="32"/>
  <c r="D14" i="32" s="1"/>
  <c r="C13" i="32"/>
  <c r="B13" i="32"/>
  <c r="D13" i="32" s="1"/>
  <c r="C12" i="32"/>
  <c r="B12" i="32"/>
  <c r="D12" i="32" s="1"/>
  <c r="C11" i="32"/>
  <c r="B11" i="32"/>
  <c r="D11" i="32" s="1"/>
  <c r="C10" i="32"/>
  <c r="B10" i="32"/>
  <c r="D10" i="32" s="1"/>
  <c r="C9" i="32"/>
  <c r="B9" i="32"/>
  <c r="D9" i="32" s="1"/>
  <c r="C8" i="32"/>
  <c r="B8" i="32"/>
  <c r="D8" i="32" s="1"/>
  <c r="C7" i="32"/>
  <c r="B7" i="32"/>
  <c r="D7" i="32" s="1"/>
  <c r="C6" i="32"/>
  <c r="B6" i="32"/>
  <c r="D6" i="32" s="1"/>
  <c r="C5" i="32"/>
  <c r="B5" i="32"/>
  <c r="D5" i="32" s="1"/>
  <c r="C4" i="32"/>
  <c r="B4" i="32"/>
  <c r="D4" i="32" s="1"/>
  <c r="C3" i="32"/>
  <c r="B3" i="32"/>
  <c r="D3" i="32" s="1"/>
  <c r="C2" i="32"/>
  <c r="B2" i="32"/>
  <c r="D2" i="32" s="1"/>
  <c r="J49" i="31"/>
  <c r="E49" i="31"/>
  <c r="D49" i="31"/>
  <c r="C49" i="31"/>
  <c r="J48" i="31"/>
  <c r="E48" i="31"/>
  <c r="D48" i="31"/>
  <c r="C48" i="31"/>
  <c r="J47" i="31"/>
  <c r="J42" i="31"/>
  <c r="E47" i="31"/>
  <c r="D47" i="31"/>
  <c r="C47" i="31"/>
  <c r="J46" i="31"/>
  <c r="E46" i="31"/>
  <c r="D46" i="31"/>
  <c r="C46" i="31"/>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J45" i="31"/>
  <c r="E45" i="31"/>
  <c r="D45" i="31"/>
  <c r="C45" i="31"/>
  <c r="J44" i="31"/>
  <c r="E44" i="31"/>
  <c r="D44" i="31"/>
  <c r="C44" i="31"/>
  <c r="J43" i="31"/>
  <c r="E43" i="31"/>
  <c r="D43" i="31"/>
  <c r="D42" i="31"/>
  <c r="C43" i="31"/>
  <c r="J41" i="31"/>
  <c r="E41" i="31"/>
  <c r="E42" i="31"/>
  <c r="D41" i="31"/>
  <c r="C41" i="31"/>
  <c r="C42" i="31"/>
  <c r="C40" i="31"/>
  <c r="D40" i="31"/>
  <c r="E40" i="31"/>
  <c r="J40" i="31"/>
  <c r="B69" i="4"/>
  <c r="C69" i="4"/>
  <c r="D69" i="4"/>
  <c r="J39" i="31"/>
  <c r="E39" i="31"/>
  <c r="D39" i="31"/>
  <c r="C39" i="31"/>
  <c r="J38" i="31"/>
  <c r="E38" i="31"/>
  <c r="D38" i="31"/>
  <c r="C38" i="31"/>
  <c r="J37" i="31"/>
  <c r="E37" i="31"/>
  <c r="D37" i="31"/>
  <c r="C37" i="31"/>
  <c r="J36" i="31"/>
  <c r="E36" i="31"/>
  <c r="D36" i="31"/>
  <c r="C36" i="31"/>
  <c r="J35" i="31"/>
  <c r="E35" i="31"/>
  <c r="D35" i="31"/>
  <c r="C35" i="31"/>
  <c r="J34" i="31"/>
  <c r="E34" i="31"/>
  <c r="D34" i="31"/>
  <c r="C34" i="31"/>
  <c r="J33" i="31"/>
  <c r="E33" i="31"/>
  <c r="D33" i="31"/>
  <c r="C33" i="31"/>
  <c r="J32" i="31"/>
  <c r="E32" i="31"/>
  <c r="D32" i="31"/>
  <c r="C32" i="31"/>
  <c r="J31" i="31"/>
  <c r="E31" i="31"/>
  <c r="D31" i="31"/>
  <c r="C31" i="31"/>
  <c r="J30" i="31"/>
  <c r="E30" i="31"/>
  <c r="D30" i="31"/>
  <c r="C30" i="31"/>
  <c r="J29" i="31"/>
  <c r="E29" i="31"/>
  <c r="D29" i="31"/>
  <c r="C29" i="31"/>
  <c r="J28" i="31"/>
  <c r="E28" i="31"/>
  <c r="D28" i="31"/>
  <c r="C28" i="31"/>
  <c r="J27" i="31"/>
  <c r="E27" i="31"/>
  <c r="D27" i="31"/>
  <c r="C27" i="31"/>
  <c r="J26" i="31"/>
  <c r="E26" i="31"/>
  <c r="D26" i="31"/>
  <c r="C26" i="31"/>
  <c r="J25" i="31"/>
  <c r="E25" i="31"/>
  <c r="D25" i="31"/>
  <c r="C25" i="31"/>
  <c r="J24" i="31"/>
  <c r="E24" i="31"/>
  <c r="D24" i="31"/>
  <c r="C24" i="31"/>
  <c r="J23" i="31"/>
  <c r="E23" i="31"/>
  <c r="D23" i="31"/>
  <c r="C23" i="31"/>
  <c r="J22" i="31"/>
  <c r="E22" i="31"/>
  <c r="D22" i="31"/>
  <c r="C22" i="31"/>
  <c r="J21" i="31"/>
  <c r="E21" i="31"/>
  <c r="D21" i="31"/>
  <c r="C21" i="31"/>
  <c r="J20" i="31"/>
  <c r="E20" i="31"/>
  <c r="D20" i="31"/>
  <c r="C20" i="31"/>
  <c r="J19" i="31"/>
  <c r="E19" i="31"/>
  <c r="D19" i="31"/>
  <c r="C19" i="31"/>
  <c r="J18" i="31"/>
  <c r="E18" i="31"/>
  <c r="D18" i="31"/>
  <c r="C18" i="31"/>
  <c r="J17" i="31"/>
  <c r="E17" i="31"/>
  <c r="D17" i="31"/>
  <c r="C17" i="31"/>
  <c r="J16" i="31"/>
  <c r="E16" i="31"/>
  <c r="D16" i="31"/>
  <c r="C16" i="31"/>
  <c r="J15" i="31"/>
  <c r="E15" i="31"/>
  <c r="D15" i="31"/>
  <c r="C15" i="31"/>
  <c r="J14" i="31"/>
  <c r="E14" i="31"/>
  <c r="D14" i="31"/>
  <c r="C14" i="31"/>
  <c r="J13" i="31"/>
  <c r="E13" i="31"/>
  <c r="D13" i="31"/>
  <c r="C13" i="31"/>
  <c r="J12" i="31"/>
  <c r="E12" i="31"/>
  <c r="D12" i="31"/>
  <c r="C12" i="31"/>
  <c r="J11" i="31"/>
  <c r="E11" i="31"/>
  <c r="D11" i="31"/>
  <c r="C11" i="31"/>
  <c r="J10" i="31"/>
  <c r="E10" i="31"/>
  <c r="D10" i="31"/>
  <c r="C10" i="31"/>
  <c r="J9" i="31"/>
  <c r="E9" i="31"/>
  <c r="D9" i="31"/>
  <c r="C9" i="31"/>
  <c r="J8" i="31"/>
  <c r="E8" i="31"/>
  <c r="D8" i="31"/>
  <c r="C8" i="31"/>
  <c r="J7" i="31"/>
  <c r="E7" i="31"/>
  <c r="D7" i="31"/>
  <c r="C7" i="31"/>
  <c r="J6" i="31"/>
  <c r="E6" i="31"/>
  <c r="D6" i="31"/>
  <c r="C6" i="31"/>
  <c r="J5" i="31"/>
  <c r="E5" i="31"/>
  <c r="D5" i="31"/>
  <c r="C5" i="31"/>
  <c r="J4" i="31"/>
  <c r="E4" i="31"/>
  <c r="D4" i="31"/>
  <c r="C4" i="31"/>
  <c r="J3" i="31"/>
  <c r="E3" i="31"/>
  <c r="D3" i="31"/>
  <c r="C3" i="31"/>
  <c r="J2" i="31"/>
  <c r="E2" i="31"/>
  <c r="D2" i="31"/>
  <c r="C2" i="31"/>
  <c r="B68" i="4" l="1"/>
  <c r="C68" i="4"/>
  <c r="D68" i="4"/>
  <c r="C67" i="4" l="1"/>
  <c r="D67" i="4" s="1"/>
  <c r="C66" i="4"/>
  <c r="D66" i="4" s="1"/>
  <c r="C65" i="4"/>
  <c r="B65" i="4"/>
  <c r="D65" i="4" s="1"/>
  <c r="C64" i="4"/>
  <c r="B64" i="4"/>
  <c r="D64" i="4" s="1"/>
  <c r="C63" i="4"/>
  <c r="B63" i="4"/>
  <c r="C62" i="4"/>
  <c r="B62" i="4"/>
  <c r="D62" i="4" s="1"/>
  <c r="C61" i="4"/>
  <c r="B61" i="4"/>
  <c r="C60" i="4"/>
  <c r="B60" i="4"/>
  <c r="D60" i="4" s="1"/>
  <c r="C59" i="4"/>
  <c r="B59" i="4"/>
  <c r="C58" i="4"/>
  <c r="B58" i="4"/>
  <c r="D58" i="4" s="1"/>
  <c r="C57" i="4"/>
  <c r="B57" i="4"/>
  <c r="D57" i="4" s="1"/>
  <c r="C56" i="4"/>
  <c r="B56" i="4"/>
  <c r="C55" i="4"/>
  <c r="B55" i="4"/>
  <c r="D55" i="4" s="1"/>
  <c r="C54" i="4"/>
  <c r="B54" i="4"/>
  <c r="D54" i="4" s="1"/>
  <c r="C53" i="4"/>
  <c r="B53" i="4"/>
  <c r="D53" i="4" s="1"/>
  <c r="C52" i="4"/>
  <c r="B52" i="4"/>
  <c r="C51" i="4"/>
  <c r="B51" i="4"/>
  <c r="C50" i="4"/>
  <c r="B50" i="4"/>
  <c r="D50" i="4" s="1"/>
  <c r="C49" i="4"/>
  <c r="B49" i="4"/>
  <c r="C48" i="4"/>
  <c r="B48" i="4"/>
  <c r="D48" i="4" s="1"/>
  <c r="C47" i="4"/>
  <c r="B47" i="4"/>
  <c r="D47" i="4" s="1"/>
  <c r="C46" i="4"/>
  <c r="B46" i="4"/>
  <c r="D46" i="4" s="1"/>
  <c r="C45" i="4"/>
  <c r="B45" i="4"/>
  <c r="C44" i="4"/>
  <c r="B44" i="4"/>
  <c r="D44" i="4" s="1"/>
  <c r="C43" i="4"/>
  <c r="B43" i="4"/>
  <c r="D43" i="4" s="1"/>
  <c r="C42" i="4"/>
  <c r="B42" i="4"/>
  <c r="D42" i="4" s="1"/>
  <c r="C41" i="4"/>
  <c r="B41" i="4"/>
  <c r="D41" i="4" s="1"/>
  <c r="C40" i="4"/>
  <c r="B40" i="4"/>
  <c r="C39" i="4"/>
  <c r="B39" i="4"/>
  <c r="C38" i="4"/>
  <c r="B38" i="4"/>
  <c r="C37" i="4"/>
  <c r="B37" i="4"/>
  <c r="D37" i="4" s="1"/>
  <c r="C36" i="4"/>
  <c r="B36" i="4"/>
  <c r="C35" i="4"/>
  <c r="B35" i="4"/>
  <c r="D35" i="4" s="1"/>
  <c r="C34" i="4"/>
  <c r="B34" i="4"/>
  <c r="D34" i="4" s="1"/>
  <c r="C33" i="4"/>
  <c r="B33" i="4"/>
  <c r="D33" i="4" s="1"/>
  <c r="C32" i="4"/>
  <c r="B32" i="4"/>
  <c r="C31" i="4"/>
  <c r="B31" i="4"/>
  <c r="C30" i="4"/>
  <c r="B30" i="4"/>
  <c r="D30" i="4" s="1"/>
  <c r="C29" i="4"/>
  <c r="B29" i="4"/>
  <c r="C28" i="4"/>
  <c r="B28" i="4"/>
  <c r="D28" i="4" s="1"/>
  <c r="C27" i="4"/>
  <c r="B27" i="4"/>
  <c r="D27" i="4" s="1"/>
  <c r="C26" i="4"/>
  <c r="B26" i="4"/>
  <c r="D26" i="4" s="1"/>
  <c r="C25" i="4"/>
  <c r="B25" i="4"/>
  <c r="C24" i="4"/>
  <c r="B24" i="4"/>
  <c r="C23" i="4"/>
  <c r="B23" i="4"/>
  <c r="C22" i="4"/>
  <c r="B22" i="4"/>
  <c r="D22" i="4" s="1"/>
  <c r="C21" i="4"/>
  <c r="B21" i="4"/>
  <c r="D21" i="4" s="1"/>
  <c r="C20" i="4"/>
  <c r="B20" i="4"/>
  <c r="D20" i="4" s="1"/>
  <c r="C19" i="4"/>
  <c r="B19" i="4"/>
  <c r="D19" i="4" s="1"/>
  <c r="C18" i="4"/>
  <c r="B18" i="4"/>
  <c r="C17" i="4"/>
  <c r="B17" i="4"/>
  <c r="C16" i="4"/>
  <c r="B16" i="4"/>
  <c r="D16" i="4" s="1"/>
  <c r="C15" i="4"/>
  <c r="B15" i="4"/>
  <c r="D15" i="4" s="1"/>
  <c r="C14" i="4"/>
  <c r="B14" i="4"/>
  <c r="D14" i="4" s="1"/>
  <c r="C13" i="4"/>
  <c r="B13" i="4"/>
  <c r="D13" i="4" s="1"/>
  <c r="C12" i="4"/>
  <c r="B12" i="4"/>
  <c r="D12" i="4" s="1"/>
  <c r="C11" i="4"/>
  <c r="B11" i="4"/>
  <c r="C10" i="4"/>
  <c r="B10" i="4"/>
  <c r="C9" i="4"/>
  <c r="B9" i="4"/>
  <c r="C8" i="4"/>
  <c r="B8" i="4"/>
  <c r="D8" i="4" s="1"/>
  <c r="C7" i="4"/>
  <c r="B7" i="4"/>
  <c r="D7" i="4" s="1"/>
  <c r="C6" i="4"/>
  <c r="B6" i="4"/>
  <c r="D6" i="4" s="1"/>
  <c r="C5" i="4"/>
  <c r="B5" i="4"/>
  <c r="D5" i="4" s="1"/>
  <c r="C4" i="4"/>
  <c r="B4" i="4"/>
  <c r="C3" i="4"/>
  <c r="B3" i="4"/>
  <c r="C2" i="4"/>
  <c r="B2" i="4"/>
  <c r="D40" i="4" l="1"/>
  <c r="D61" i="4"/>
  <c r="D45" i="4"/>
  <c r="D52" i="4"/>
  <c r="D59" i="4"/>
  <c r="D63" i="4"/>
  <c r="D56" i="4"/>
  <c r="D9" i="4"/>
  <c r="D10" i="4"/>
  <c r="D17" i="4"/>
  <c r="D24" i="4"/>
  <c r="D31" i="4"/>
  <c r="D38" i="4"/>
  <c r="D4" i="4"/>
  <c r="D11" i="4"/>
  <c r="D18" i="4"/>
  <c r="D25" i="4"/>
  <c r="D32" i="4"/>
  <c r="D39" i="4"/>
  <c r="D23" i="4"/>
  <c r="D3" i="4"/>
  <c r="D51" i="4"/>
  <c r="D2" i="4"/>
  <c r="D29" i="4"/>
  <c r="D36" i="4"/>
  <c r="D4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Jake Schneider</author>
  </authors>
  <commentList>
    <comment ref="A21" authorId="0" shapeId="0" xr:uid="{99027B54-2651-4A99-B28C-06294F117246}">
      <text>
        <r>
          <rPr>
            <b/>
            <sz val="10"/>
            <color rgb="FF000000"/>
            <rFont val="Tahoma"/>
            <family val="2"/>
          </rPr>
          <t>Jake Schneider:</t>
        </r>
        <r>
          <rPr>
            <sz val="10"/>
            <color rgb="FF000000"/>
            <rFont val="Tahoma"/>
            <family val="2"/>
          </rPr>
          <t xml:space="preserve">
</t>
        </r>
        <r>
          <rPr>
            <sz val="10"/>
            <color rgb="FF000000"/>
            <rFont val="Tahoma"/>
            <family val="2"/>
          </rPr>
          <t>Data Revision from the ROY Algorithm 7/6/25</t>
        </r>
      </text>
    </comment>
  </commentList>
</comments>
</file>

<file path=xl/sharedStrings.xml><?xml version="1.0" encoding="utf-8"?>
<sst xmlns="http://schemas.openxmlformats.org/spreadsheetml/2006/main" count="263" uniqueCount="164">
  <si>
    <t>Date</t>
  </si>
  <si>
    <t>Company</t>
  </si>
  <si>
    <t>Atlas Analytics, Inc.</t>
  </si>
  <si>
    <t>Subscriber</t>
  </si>
  <si>
    <t>Client</t>
  </si>
  <si>
    <t>Workbook Description</t>
  </si>
  <si>
    <r>
      <rPr>
        <sz val="11"/>
        <color rgb="FF000000"/>
        <rFont val="Aptos Narrow"/>
        <family val="2"/>
        <scheme val="minor"/>
      </rPr>
      <t xml:space="preserve">This workbook contains a collection of key economic and financial datasets compiled by Atlas Analytics, Inc. for internal analysis and strategic planning purposes. The contents are organized into separate sheets and include the following:
- </t>
    </r>
    <r>
      <rPr>
        <b/>
        <sz val="11"/>
        <color rgb="FF000000"/>
        <rFont val="Aptos Narrow"/>
        <family val="2"/>
        <scheme val="minor"/>
      </rPr>
      <t>Quarterly Time Series GDP:</t>
    </r>
    <r>
      <rPr>
        <sz val="11"/>
        <color rgb="FF000000"/>
        <rFont val="Aptos Narrow"/>
        <family val="2"/>
        <scheme val="minor"/>
      </rPr>
      <t xml:space="preserve"> Historical and current gross domestic product (GDP) data reported on a quarterly basis, reflecting overall economic activity and growth trends.
- </t>
    </r>
    <r>
      <rPr>
        <b/>
        <sz val="11"/>
        <color rgb="FF000000"/>
        <rFont val="Aptos Narrow"/>
        <family val="2"/>
        <scheme val="minor"/>
      </rPr>
      <t>Weekly Time Series GDP:</t>
    </r>
    <r>
      <rPr>
        <sz val="11"/>
        <color rgb="FF000000"/>
        <rFont val="Aptos Narrow"/>
        <family val="2"/>
        <scheme val="minor"/>
      </rPr>
      <t xml:space="preserve"> High-frequency estimates of GDP, providing a more granular view of economic performance on a weekly basis.
- </t>
    </r>
    <r>
      <rPr>
        <b/>
        <sz val="11"/>
        <color rgb="FF000000"/>
        <rFont val="Aptos Narrow"/>
        <family val="2"/>
        <scheme val="minor"/>
      </rPr>
      <t>Weekly Financial Targets:</t>
    </r>
    <r>
      <rPr>
        <sz val="11"/>
        <color rgb="FF000000"/>
        <rFont val="Aptos Narrow"/>
        <family val="2"/>
        <scheme val="minor"/>
      </rPr>
      <t xml:space="preserve"> Internal financial benchmarks and performance targets tracked weekly, used to support forecasting and decision-making.
- </t>
    </r>
    <r>
      <rPr>
        <b/>
        <sz val="11"/>
        <color rgb="FF000000"/>
        <rFont val="Aptos Narrow"/>
        <family val="2"/>
        <scheme val="minor"/>
      </rPr>
      <t>Quarterly Net Exports Data:</t>
    </r>
    <r>
      <rPr>
        <sz val="11"/>
        <color rgb="FF000000"/>
        <rFont val="Aptos Narrow"/>
        <family val="2"/>
        <scheme val="minor"/>
      </rPr>
      <t xml:space="preserve"> Data on net exports (exports minus imports) by quarter, offering insight into trade balances and their contribution to GDP.
- </t>
    </r>
    <r>
      <rPr>
        <b/>
        <sz val="11"/>
        <color rgb="FF000000"/>
        <rFont val="Aptos Narrow"/>
        <family val="2"/>
        <scheme val="minor"/>
      </rPr>
      <t>Quarterly Private Inventories Data:</t>
    </r>
    <r>
      <rPr>
        <sz val="11"/>
        <color rgb="FF000000"/>
        <rFont val="Aptos Narrow"/>
        <family val="2"/>
        <scheme val="minor"/>
      </rPr>
      <t xml:space="preserve"> Data on private inventories, by quarter as a contribution to GDP.
Each dataset is structured for ease of reference and may include accompanying charts or formulas for visualization and analysis.</t>
    </r>
  </si>
  <si>
    <t>Sheet Name</t>
  </si>
  <si>
    <t>Description</t>
  </si>
  <si>
    <t>Type</t>
  </si>
  <si>
    <t>Contents</t>
  </si>
  <si>
    <t>Summary contents table</t>
  </si>
  <si>
    <t>Quarterly Time Series</t>
  </si>
  <si>
    <t>Quarterly time-series data: Actual and Atlas predicted GDP</t>
  </si>
  <si>
    <t>Data</t>
  </si>
  <si>
    <t>Weekly Time Series</t>
  </si>
  <si>
    <t>Weekly time-series data: Atlas predicted GDP broken down into sub-component</t>
  </si>
  <si>
    <t>Weekly Financial Targets</t>
  </si>
  <si>
    <t>Weekly time-series data: Atlas financial market targets</t>
  </si>
  <si>
    <t>NX Results</t>
  </si>
  <si>
    <t>Quarterly time-series data:Atlas predicted Net Exports (trade balance)</t>
  </si>
  <si>
    <t>PI Results</t>
  </si>
  <si>
    <t>Quarterly time-series data:Atlas predicted Private Inventories</t>
  </si>
  <si>
    <t>This Excel workbook and all data, analysis, and content contained herein (“Workbook”) are confidential and intended solely for the use of the authorized recipient. No part of this Workbook may be copied, reproduced, distributed, or shared in any form or by any means without the prior written consent of Atlas Analytics, Inc. Atlas Analytics, Inc. makes no representations or warranties, express or implied, as to the accuracy, completeness, or reliability of the data or analysis contained in this Workbook. All information is provided “as is” and is subject to change without notice. Use of this Workbook is at the user’s own risk, and Atlas Analytics, Inc. disclaims any liability for any loss or damage arising from reliance on the contents of this Workbook.</t>
  </si>
  <si>
    <t>Year</t>
  </si>
  <si>
    <t>Quarter</t>
  </si>
  <si>
    <t>Date2</t>
  </si>
  <si>
    <t>US GDP (SAAR)</t>
  </si>
  <si>
    <t>Atlas Predicted (SAAR)</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</si>
  <si>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</si>
  <si>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</si>
  <si>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</si>
  <si>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</si>
  <si>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</si>
  <si>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</si>
  <si>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</si>
  <si>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</si>
  <si>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</si>
  <si>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</si>
  <si>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</si>
  <si>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</si>
  <si>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</si>
  <si>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</si>
  <si>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</si>
  <si>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</si>
  <si>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</si>
  <si>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</si>
  <si>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</si>
  <si>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</si>
  <si>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</si>
  <si>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</si>
  <si>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</si>
  <si>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</si>
  <si>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</si>
  <si>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</si>
  <si>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</si>
  <si>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</si>
  <si>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</si>
  <si>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</si>
  <si>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</si>
  <si>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</si>
  <si>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</si>
  <si>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</si>
  <si>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</si>
  <si>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</si>
  <si>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</si>
  <si>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</si>
  <si>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</si>
  <si>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</si>
  <si>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</si>
  <si>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</si>
  <si>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</si>
  <si>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</si>
  <si>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</si>
  <si>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</si>
  <si>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</si>
  <si>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</si>
  <si>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</si>
  <si>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</si>
  <si>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</si>
  <si>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</si>
  <si>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</si>
  <si>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</si>
  <si>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</si>
  <si>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</si>
  <si>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</si>
  <si>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</si>
  <si>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</si>
  <si>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</si>
  <si>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</si>
  <si>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</si>
  <si>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</si>
  <si>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</si>
  <si>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</si>
  <si>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</si>
  <si>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</si>
  <si>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</si>
  <si>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</si>
  <si>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</si>
  <si>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</si>
  <si>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</si>
  <si>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</si>
  <si>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</si>
  <si>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</si>
  <si>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</si>
  <si>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</si>
  <si>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</si>
  <si>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</si>
  <si>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</si>
  <si>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</si>
  <si>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</si>
  <si>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</si>
  <si>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</si>
  <si>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</si>
  <si>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</si>
  <si>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</si>
  <si>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</si>
  <si>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</si>
  <si>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</si>
  <si>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</si>
  <si>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</si>
  <si>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</si>
  <si>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</si>
  <si>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</si>
  <si>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</si>
  <si>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</si>
  <si>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</si>
  <si>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</si>
  <si>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</si>
  <si>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</si>
  <si>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</si>
  <si>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</si>
  <si>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</si>
  <si>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</si>
  <si>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Prediction Year-Quarter</t>
  </si>
  <si>
    <t>Day of the Week</t>
  </si>
  <si>
    <t>Month</t>
  </si>
  <si>
    <t>Core GDP</t>
  </si>
  <si>
    <t>Core GDP Updated</t>
  </si>
  <si>
    <t>Net Exports</t>
  </si>
  <si>
    <t>Private Inventories</t>
  </si>
  <si>
    <t>GDP</t>
  </si>
  <si>
    <t>Sunday</t>
  </si>
  <si>
    <t>January</t>
  </si>
  <si>
    <t>February</t>
  </si>
  <si>
    <t>March</t>
  </si>
  <si>
    <t>Atlas Analytics Price Targets: GDP-Based</t>
  </si>
  <si>
    <t>ETF</t>
  </si>
  <si>
    <t>Atlas Analytics' Target</t>
  </si>
  <si>
    <t>Current Trading Price</t>
  </si>
  <si>
    <t>Deviation</t>
  </si>
  <si>
    <t>XLK</t>
  </si>
  <si>
    <t>XLF</t>
  </si>
  <si>
    <t>XLI</t>
  </si>
  <si>
    <t>XLRE</t>
  </si>
  <si>
    <t>`</t>
  </si>
  <si>
    <t>SPY</t>
  </si>
  <si>
    <t>QQQ</t>
  </si>
  <si>
    <t>DIA</t>
  </si>
  <si>
    <t>IWM</t>
  </si>
  <si>
    <t>IWV</t>
  </si>
  <si>
    <t>Atlas Analytics Price Targets: Core GDP-Based</t>
  </si>
  <si>
    <t>Trade Balance</t>
  </si>
  <si>
    <t>Trade Balance (% 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</si>
</sst>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yyyy\-mm\-dd"/>
    <numFmt numFmtId="165" formatCode="0.0%"/>
    <numFmt numFmtId="166" formatCode="[$-F800]dddd\,\ mmmm\ dd\,\ yyyy"/>
  </numFmts>
  <fonts count="25">
    <font>
      <sz val="12"/>
      <color theme="1"/>
      <name val="Aptos Narrow"/>
      <family val="2"/>
      <scheme val="minor"/>
    </font>
    <font>
      <sz val="11"/>
      <color theme="1"/>
      <name val="Aptos Narrow"/>
      <family val="2"/>
      <scheme val="minor"/>
    </font>
    <font>
      <sz val="12"/>
      <color theme="1"/>
      <name val="Aptos Narrow"/>
      <family val="2"/>
      <scheme val="minor"/>
    </font>
    <font>
      <b/>
      <sz val="12"/>
      <color theme="1"/>
      <name val="Aptos Narrow"/>
      <family val="2"/>
      <scheme val="minor"/>
    </font>
    <font>
      <sz val="10"/>
      <name val="Arial"/>
      <family val="2"/>
    </font>
    <font>
      <sz val="8"/>
      <name val="Aptos Narrow"/>
      <family val="2"/>
      <scheme val="minor"/>
    </font>
    <font>
      <b/>
      <sz val="10"/>
      <name val="Arial"/>
      <family val="2"/>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i/>
      <sz val="10"/>
      <color rgb="FF000000"/>
      <name val="Aptos Narrow"/>
      <family val="2"/>
      <scheme val="minor"/>
    </font>
    <font>
      <b/>
      <sz val="10"/>
      <color rgb="FF000000"/>
      <name val="Tahoma"/>
      <family val="2"/>
    </font>
    <font>
      <sz val="10"/>
      <color rgb="FF000000"/>
      <name val="Tahoma"/>
      <family val="2"/>
    </font>
    <font>
      <sz val="12"/>
      <name val="Aptos Narrow"/>
      <family val="2"/>
      <scheme val="minor"/>
    </font>
    <font>
      <sz val="12"/>
      <color theme="1"/>
      <name val="Aptos Narrow"/>
      <family val="2"/>
    </font>
    <font>
      <sz val="10"/>
      <color theme="1"/>
      <name val="Arial"/>
      <family val="2"/>
    </font>
    <font>
      <i/>
      <sz val="12"/>
      <color theme="1"/>
      <name val="Aptos Narrow"/>
      <family val="2"/>
      <scheme val="minor"/>
    </font>
    <font>
      <sz val="12"/>
      <color rgb="FF000000"/>
      <name val="Aptos Narrow"/>
      <family val="2"/>
    </font>
    <font>
      <sz val="12"/>
      <color rgb="FF000000"/>
      <name val="Aptos Narrow"/>
      <family val="2"/>
      <scheme val="minor"/>
    </font>
    <font>
      <sz val="11"/>
      <color rgb="FF000000"/>
      <name val="Aptos Narrow"/>
      <family val="2"/>
      <scheme val="minor"/>
    </font>
    <font>
      <b/>
      <sz val="11"/>
      <color rgb="FF000000"/>
      <name val="Aptos Narrow"/>
      <family val="2"/>
      <scheme val="minor"/>
    </font>
    <font>
      <u/>
      <sz val="12"/>
      <color theme="10"/>
      <name val="Aptos Narrow"/>
      <family val="2"/>
      <scheme val="minor"/>
    </font>
    <font>
      <sz val="12"/>
      <color theme="0"/>
      <name val="Aptos Narrow"/>
      <family val="2"/>
      <scheme val="minor"/>
    </font>
    <font>
      <b/>
      <sz val="12"/>
      <color theme="0"/>
      <name val="Aptos Narrow"/>
      <family val="2"/>
      <scheme val="minor"/>
    </font>
  </fonts>
  <fills count="12">
    <fill>
      <patternFill patternType="none"/>
    </fill>
    <fill>
      <patternFill patternType="gray125"/>
    </fill>
    <fill>
      <patternFill patternType="solid">
        <fgColor theme="1"/>
        <bgColor indexed="64"/>
      </patternFill>
    </fill>
    <fill>
      <patternFill patternType="solid">
        <fgColor theme="2" tint="-0.749992370372631"/>
        <bgColor indexed="64"/>
      </patternFill>
    </fill>
    <fill>
      <patternFill patternType="solid">
        <fgColor rgb="FFC00000"/>
        <bgColor indexed="64"/>
      </patternFill>
    </fill>
    <fill>
      <patternFill patternType="solid">
        <fgColor theme="5"/>
        <bgColor indexed="64"/>
      </patternFill>
    </fill>
    <fill>
      <patternFill patternType="solid">
        <fgColor theme="6"/>
        <bgColor indexed="64"/>
      </patternFill>
    </fill>
    <fill>
      <patternFill patternType="solid">
        <fgColor rgb="FF7030A0"/>
        <bgColor indexed="64"/>
      </patternFill>
    </fill>
    <fill>
      <patternFill patternType="solid">
        <fgColor theme="0"/>
        <bgColor indexed="64"/>
      </patternFill>
    </fill>
    <fill>
      <patternFill patternType="solid">
        <fgColor rgb="FF0070C0"/>
        <bgColor indexed="64"/>
      </patternFill>
    </fill>
    <fill>
      <patternFill patternType="solid">
        <fgColor rgb="FFFFFFFF"/>
        <bgColor rgb="FF000000"/>
      </patternFill>
    </fill>
    <fill>
      <patternFill patternType="solid">
        <fgColor rgb="FFFFFF00"/>
        <bgColor indexed="64"/>
      </patternFill>
    </fill>
  </fills>
  <borders count="16">
    <border>
      <left/>
      <right/>
      <top/>
      <bottom/>
      <diagonal/>
    </border>
    <border>
      <left/>
      <right/>
      <top/>
      <bottom style="medium">
        <color indexed="64"/>
      </bottom>
      <diagonal/>
    </border>
    <border>
      <left/>
      <right/>
      <top/>
      <bottom style="thin">
        <color indexed="64"/>
      </bottom>
      <diagonal/>
    </border>
    <border>
      <left style="medium">
        <color theme="0" tint="-0.14999847407452621"/>
      </left>
      <right style="thin">
        <color theme="0" tint="-0.14999847407452621"/>
      </right>
      <top style="medium">
        <color theme="0" tint="-0.14999847407452621"/>
      </top>
      <bottom style="medium">
        <color theme="0"/>
      </bottom>
      <diagonal/>
    </border>
    <border>
      <left style="thin">
        <color theme="0" tint="-0.14999847407452621"/>
      </left>
      <right style="thin">
        <color theme="0" tint="-0.14999847407452621"/>
      </right>
      <top style="medium">
        <color theme="0" tint="-0.14999847407452621"/>
      </top>
      <bottom style="medium">
        <color theme="0"/>
      </bottom>
      <diagonal/>
    </border>
    <border>
      <left/>
      <right style="medium">
        <color theme="0" tint="-0.14999847407452621"/>
      </right>
      <top style="medium">
        <color theme="0" tint="-0.14999847407452621"/>
      </top>
      <bottom style="medium">
        <color theme="0"/>
      </bottom>
      <diagonal/>
    </border>
    <border>
      <left style="medium">
        <color theme="0" tint="-0.14999847407452621"/>
      </left>
      <right style="thin">
        <color theme="0" tint="-0.14996795556505021"/>
      </right>
      <top style="medium">
        <color theme="0"/>
      </top>
      <bottom style="thin">
        <color theme="0" tint="-0.14996795556505021"/>
      </bottom>
      <diagonal/>
    </border>
    <border>
      <left style="thin">
        <color theme="0" tint="-0.14996795556505021"/>
      </left>
      <right style="thin">
        <color theme="0" tint="-0.14996795556505021"/>
      </right>
      <top style="medium">
        <color theme="0"/>
      </top>
      <bottom style="thin">
        <color theme="0" tint="-0.14996795556505021"/>
      </bottom>
      <diagonal/>
    </border>
    <border>
      <left style="thin">
        <color theme="0" tint="-0.14996795556505021"/>
      </left>
      <right style="medium">
        <color theme="0" tint="-0.14999847407452621"/>
      </right>
      <top style="medium">
        <color theme="0"/>
      </top>
      <bottom style="thin">
        <color theme="0" tint="-0.14996795556505021"/>
      </bottom>
      <diagonal/>
    </border>
    <border>
      <left style="medium">
        <color theme="0" tint="-0.14999847407452621"/>
      </left>
      <right style="thin">
        <color theme="0" tint="-0.14996795556505021"/>
      </right>
      <top style="thin">
        <color theme="0" tint="-0.14996795556505021"/>
      </top>
      <bottom style="thin">
        <color theme="0" tint="-0.14996795556505021"/>
      </bottom>
      <diagonal/>
    </border>
    <border>
      <left style="thin">
        <color theme="0" tint="-0.14996795556505021"/>
      </left>
      <right style="medium">
        <color theme="0" tint="-0.14999847407452621"/>
      </right>
      <top style="thin">
        <color theme="0" tint="-0.14996795556505021"/>
      </top>
      <bottom style="thin">
        <color theme="0" tint="-0.14996795556505021"/>
      </bottom>
      <diagonal/>
    </border>
    <border>
      <left style="medium">
        <color theme="0" tint="-0.14999847407452621"/>
      </left>
      <right style="medium">
        <color theme="0" tint="-0.14996795556505021"/>
      </right>
      <top style="medium">
        <color theme="0" tint="-0.14996795556505021"/>
      </top>
      <bottom style="medium">
        <color theme="0" tint="-0.14996795556505021"/>
      </bottom>
      <diagonal/>
    </border>
    <border>
      <left style="medium">
        <color theme="0" tint="-0.14996795556505021"/>
      </left>
      <right style="medium">
        <color theme="0" tint="-0.14996795556505021"/>
      </right>
      <top style="medium">
        <color theme="0" tint="-0.14996795556505021"/>
      </top>
      <bottom style="medium">
        <color theme="0" tint="-0.14996795556505021"/>
      </bottom>
      <diagonal/>
    </border>
    <border>
      <left style="medium">
        <color theme="0" tint="-0.14996795556505021"/>
      </left>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right style="medium">
        <color theme="0" tint="-0.14996795556505021"/>
      </right>
      <top style="medium">
        <color theme="0" tint="-0.14996795556505021"/>
      </top>
      <bottom style="medium">
        <color theme="0" tint="-0.14996795556505021"/>
      </bottom>
      <diagonal/>
    </border>
  </borders>
  <cellStyleXfs count="8">
    <xf numFmtId="0" fontId="0" fillId="0" borderId="0"/>
    <xf numFmtId="9" fontId="2" fillId="0" borderId="0" applyFont="0" applyFill="0" applyBorder="0" applyAlignment="0" applyProtection="0"/>
    <xf numFmtId="0" fontId="4" fillId="0" borderId="0"/>
    <xf numFmtId="44" fontId="2"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xf numFmtId="0" fontId="7" fillId="0" borderId="0"/>
    <xf numFmtId="0" fontId="22" fillId="0" borderId="0" applyNumberFormat="0" applyFill="0" applyBorder="0" applyAlignment="0" applyProtection="0"/>
  </cellStyleXfs>
  <cellXfs count="72">
    <xf numFmtId="0" fontId="0" fillId="0" borderId="0" xfId="0"/>
    <xf numFmtId="0" fontId="3" fillId="0" borderId="1" xfId="0" applyFont="1" applyBorder="1" applyAlignment="1">
      <alignment horizontal="center" vertical="center" wrapText="1"/>
    </xf>
    <xf numFmtId="0" fontId="0" fillId="0" borderId="1" xfId="0" applyBorder="1"/>
    <xf numFmtId="164" fontId="4" fillId="0" borderId="0" xfId="2" applyNumberFormat="1"/>
    <xf numFmtId="0" fontId="4" fillId="0" borderId="0" xfId="2"/>
    <xf numFmtId="165" fontId="0" fillId="0" borderId="0" xfId="1" applyNumberFormat="1" applyFont="1"/>
    <xf numFmtId="165" fontId="0" fillId="0" borderId="0" xfId="0" applyNumberFormat="1"/>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0" fillId="0" borderId="0" xfId="0" applyAlignment="1">
      <alignment horizontal="center"/>
    </xf>
    <xf numFmtId="2" fontId="0" fillId="0" borderId="0" xfId="0" applyNumberFormat="1"/>
    <xf numFmtId="0" fontId="3" fillId="0" borderId="0" xfId="0" applyFont="1"/>
    <xf numFmtId="0" fontId="6" fillId="0" borderId="2" xfId="2" applyFont="1" applyBorder="1" applyAlignment="1">
      <alignment horizontal="center" vertical="center"/>
    </xf>
    <xf numFmtId="0" fontId="6" fillId="0" borderId="2" xfId="2" applyFont="1" applyBorder="1" applyAlignment="1">
      <alignment horizontal="center" vertical="center" wrapText="1"/>
    </xf>
    <xf numFmtId="1" fontId="0" fillId="0" borderId="0" xfId="4" applyNumberFormat="1" applyFont="1"/>
    <xf numFmtId="0" fontId="6" fillId="0" borderId="0" xfId="2" applyFont="1" applyAlignment="1">
      <alignment horizontal="center" vertical="center" wrapText="1"/>
    </xf>
    <xf numFmtId="0" fontId="7" fillId="0" borderId="0" xfId="6"/>
    <xf numFmtId="0" fontId="8" fillId="3" borderId="3" xfId="6" applyFont="1" applyFill="1" applyBorder="1" applyAlignment="1">
      <alignment horizontal="center"/>
    </xf>
    <xf numFmtId="0" fontId="8" fillId="3" borderId="4" xfId="6" applyFont="1" applyFill="1" applyBorder="1" applyAlignment="1">
      <alignment horizontal="center"/>
    </xf>
    <xf numFmtId="0" fontId="8" fillId="3" borderId="5" xfId="6" applyFont="1" applyFill="1" applyBorder="1" applyAlignment="1">
      <alignment horizontal="center"/>
    </xf>
    <xf numFmtId="0" fontId="9" fillId="0" borderId="6" xfId="6" applyFont="1" applyBorder="1"/>
    <xf numFmtId="0" fontId="7" fillId="0" borderId="7" xfId="6" applyBorder="1"/>
    <xf numFmtId="0" fontId="9" fillId="0" borderId="9" xfId="6" applyFont="1" applyBorder="1"/>
    <xf numFmtId="0" fontId="10" fillId="4" borderId="10" xfId="6" applyFont="1" applyFill="1" applyBorder="1"/>
    <xf numFmtId="0" fontId="10" fillId="2" borderId="8" xfId="6" applyFont="1" applyFill="1" applyBorder="1"/>
    <xf numFmtId="0" fontId="10" fillId="5" borderId="10" xfId="6" applyFont="1" applyFill="1" applyBorder="1"/>
    <xf numFmtId="0" fontId="10" fillId="6" borderId="10" xfId="6" applyFont="1" applyFill="1" applyBorder="1"/>
    <xf numFmtId="0" fontId="8" fillId="3" borderId="11" xfId="6" applyFont="1" applyFill="1" applyBorder="1" applyAlignment="1">
      <alignment horizontal="center"/>
    </xf>
    <xf numFmtId="14" fontId="0" fillId="0" borderId="0" xfId="0" applyNumberFormat="1"/>
    <xf numFmtId="165" fontId="14" fillId="0" borderId="0" xfId="1" applyNumberFormat="1" applyFont="1"/>
    <xf numFmtId="0" fontId="15" fillId="0" borderId="0" xfId="0" applyFont="1"/>
    <xf numFmtId="10" fontId="4" fillId="0" borderId="0" xfId="2" applyNumberFormat="1"/>
    <xf numFmtId="1" fontId="4" fillId="0" borderId="0" xfId="2" applyNumberFormat="1"/>
    <xf numFmtId="1" fontId="16" fillId="0" borderId="0" xfId="4" applyNumberFormat="1" applyFont="1"/>
    <xf numFmtId="10" fontId="0" fillId="0" borderId="0" xfId="1" applyNumberFormat="1" applyFont="1"/>
    <xf numFmtId="10" fontId="0" fillId="0" borderId="0" xfId="0" applyNumberFormat="1"/>
    <xf numFmtId="0" fontId="18" fillId="0" borderId="0" xfId="0" applyFont="1"/>
    <xf numFmtId="165" fontId="0" fillId="0" borderId="0" xfId="3" applyNumberFormat="1" applyFont="1"/>
    <xf numFmtId="0" fontId="1" fillId="0" borderId="9" xfId="6" applyFont="1" applyBorder="1"/>
    <xf numFmtId="165" fontId="2" fillId="0" borderId="0" xfId="3" applyNumberFormat="1" applyFont="1"/>
    <xf numFmtId="2" fontId="19" fillId="0" borderId="0" xfId="0" applyNumberFormat="1" applyFont="1"/>
    <xf numFmtId="0" fontId="19" fillId="0" borderId="0" xfId="0" applyFont="1"/>
    <xf numFmtId="0" fontId="10" fillId="7" borderId="10" xfId="6" applyFont="1" applyFill="1" applyBorder="1"/>
    <xf numFmtId="0" fontId="18" fillId="0" borderId="0" xfId="0" applyFont="1" applyAlignment="1">
      <alignment horizontal="center"/>
    </xf>
    <xf numFmtId="14" fontId="18" fillId="0" borderId="0" xfId="0" applyNumberFormat="1" applyFont="1" applyAlignment="1">
      <alignment horizontal="right"/>
    </xf>
    <xf numFmtId="0" fontId="18" fillId="0" borderId="0" xfId="0" applyFont="1" applyAlignment="1">
      <alignment horizontal="right"/>
    </xf>
    <xf numFmtId="2" fontId="0" fillId="0" borderId="0" xfId="0" applyNumberFormat="1" applyAlignment="1">
      <alignment horizontal="right"/>
    </xf>
    <xf numFmtId="0" fontId="0" fillId="8" borderId="0" xfId="0" applyFill="1"/>
    <xf numFmtId="0" fontId="23" fillId="8" borderId="0" xfId="0" applyFont="1" applyFill="1"/>
    <xf numFmtId="0" fontId="24" fillId="8" borderId="0" xfId="0" applyFont="1" applyFill="1"/>
    <xf numFmtId="0" fontId="22" fillId="8" borderId="0" xfId="7" applyFill="1"/>
    <xf numFmtId="0" fontId="10" fillId="9" borderId="10" xfId="6" applyFont="1" applyFill="1" applyBorder="1"/>
    <xf numFmtId="0" fontId="0" fillId="0" borderId="0" xfId="0" applyAlignment="1">
      <alignment horizontal="left" vertical="center"/>
    </xf>
    <xf numFmtId="0" fontId="2" fillId="0" borderId="0" xfId="0" applyFont="1"/>
    <xf numFmtId="0" fontId="23" fillId="0" borderId="0" xfId="0" applyFont="1"/>
    <xf numFmtId="44" fontId="19" fillId="0" borderId="0" xfId="3" applyFont="1"/>
    <xf numFmtId="165" fontId="19" fillId="0" borderId="0" xfId="0" applyNumberFormat="1" applyFont="1"/>
    <xf numFmtId="165" fontId="19" fillId="10" borderId="0" xfId="0" applyNumberFormat="1" applyFont="1" applyFill="1"/>
    <xf numFmtId="0" fontId="20" fillId="0" borderId="13" xfId="6" applyFont="1" applyBorder="1" applyAlignment="1">
      <alignment horizontal="left" wrapText="1"/>
    </xf>
    <xf numFmtId="0" fontId="7" fillId="0" borderId="14" xfId="6" applyBorder="1" applyAlignment="1">
      <alignment horizontal="left" wrapText="1"/>
    </xf>
    <xf numFmtId="0" fontId="7" fillId="0" borderId="15" xfId="6" applyBorder="1" applyAlignment="1">
      <alignment horizontal="left" wrapText="1"/>
    </xf>
    <xf numFmtId="0" fontId="7" fillId="0" borderId="13" xfId="6" applyBorder="1" applyAlignment="1">
      <alignment horizontal="left" wrapText="1"/>
    </xf>
    <xf numFmtId="0" fontId="11" fillId="0" borderId="0" xfId="0" applyFont="1" applyAlignment="1">
      <alignment horizontal="left" vertical="top" wrapText="1"/>
    </xf>
    <xf numFmtId="166" fontId="9" fillId="11" borderId="12" xfId="6" applyNumberFormat="1" applyFont="1" applyFill="1" applyBorder="1" applyAlignment="1">
      <alignment horizontal="center"/>
    </xf>
    <xf numFmtId="0" fontId="9" fillId="0" borderId="12" xfId="6" applyFont="1" applyBorder="1" applyAlignment="1">
      <alignment horizontal="center"/>
    </xf>
    <xf numFmtId="0" fontId="9" fillId="11" borderId="12" xfId="6" applyFont="1" applyFill="1" applyBorder="1" applyAlignment="1">
      <alignment horizontal="center"/>
    </xf>
    <xf numFmtId="0" fontId="8" fillId="3" borderId="13" xfId="6" applyFont="1" applyFill="1" applyBorder="1" applyAlignment="1">
      <alignment horizontal="center"/>
    </xf>
    <xf numFmtId="0" fontId="8" fillId="3" borderId="14" xfId="6" applyFont="1" applyFill="1" applyBorder="1" applyAlignment="1">
      <alignment horizontal="center"/>
    </xf>
    <xf numFmtId="0" fontId="8" fillId="3" borderId="15" xfId="6" applyFont="1" applyFill="1" applyBorder="1" applyAlignment="1">
      <alignment horizontal="center"/>
    </xf>
    <xf numFmtId="0" fontId="24" fillId="8" borderId="0" xfId="0" applyFont="1" applyFill="1" applyAlignment="1">
      <alignment horizontal="left"/>
    </xf>
    <xf numFmtId="0" fontId="3" fillId="0" borderId="0" xfId="0" applyFont="1" applyAlignment="1">
      <alignment horizontal="center"/>
    </xf>
    <xf numFmtId="166" fontId="17" fillId="0" borderId="0" xfId="0" applyNumberFormat="1" applyFont="1" applyAlignment="1">
      <alignment horizontal="center"/>
    </xf>
  </cellXfs>
  <cellStyles count="8">
    <cellStyle name="Comma 2" xfId="4" xr:uid="{514C3B2E-A60A-F64A-8D43-9DA4120A61C6}"/>
    <cellStyle name="Currency" xfId="3" builtinId="4"/>
    <cellStyle name="Hyperlink" xfId="7" builtinId="8"/>
    <cellStyle name="Normal" xfId="0" builtinId="0"/>
    <cellStyle name="Normal 2" xfId="2" xr:uid="{243943B3-4066-E94A-8E2E-55B90CC85732}"/>
    <cellStyle name="Normal 3" xfId="6" xr:uid="{2BBBF381-F1BB-6B40-89DB-E425FBB65B3A}"/>
    <cellStyle name="Percent" xfId="1" builtinId="5"/>
    <cellStyle name="Percent 2" xfId="5" xr:uid="{A3ECECF3-854F-7B4F-A80D-637ADCEB45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Atlas Analytics: GDP Components Over Time  3/29/2026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613995516185477E-2"/>
          <c:y val="0.12026377952755905"/>
          <c:w val="0.8947628226159231"/>
          <c:h val="0.59189829396325455"/>
        </c:manualLayout>
      </c:layout>
      <c:barChart>
        <c:barDir val="col"/>
        <c:grouping val="clustered"/>
        <c:varyColors val="0"/>
        <c:ser>
          <c:idx val="0"/>
          <c:order val="0"/>
          <c:tx>
            <c:v>Core GDP</c:v>
          </c:tx>
          <c:spPr>
            <a:solidFill>
              <a:srgbClr val="A02B93"/>
            </a:solidFill>
            <a:ln>
              <a:noFill/>
            </a:ln>
            <a:effectLst/>
          </c:spPr>
          <c:invertIfNegative val="0"/>
          <c:cat>
            <c:numRef>
              <c:f>'Weekly Time Series'!$B$2:$B$60</c:f>
              <c:numCache>
                <c:formatCode>m/d/yyyy</c:formatCode>
                <c:ptCount val="57"/>
                <c:pt idx="0">
                  <c:v>45718</c:v>
                </c:pt>
                <c:pt idx="1">
                  <c:v>45725</c:v>
                </c:pt>
                <c:pt idx="2">
                  <c:v>45732</c:v>
                </c:pt>
                <c:pt idx="3">
                  <c:v>45739</c:v>
                </c:pt>
                <c:pt idx="4">
                  <c:v>45746</c:v>
                </c:pt>
                <c:pt idx="5">
                  <c:v>45753</c:v>
                </c:pt>
                <c:pt idx="6">
                  <c:v>45760</c:v>
                </c:pt>
                <c:pt idx="7">
                  <c:v>45767</c:v>
                </c:pt>
                <c:pt idx="8">
                  <c:v>45774</c:v>
                </c:pt>
                <c:pt idx="9">
                  <c:v>45781</c:v>
                </c:pt>
                <c:pt idx="10">
                  <c:v>45788</c:v>
                </c:pt>
                <c:pt idx="11">
                  <c:v>45795</c:v>
                </c:pt>
                <c:pt idx="12">
                  <c:v>45802</c:v>
                </c:pt>
                <c:pt idx="13">
                  <c:v>45809</c:v>
                </c:pt>
                <c:pt idx="14">
                  <c:v>45816</c:v>
                </c:pt>
                <c:pt idx="15">
                  <c:v>45823</c:v>
                </c:pt>
                <c:pt idx="16">
                  <c:v>45830</c:v>
                </c:pt>
                <c:pt idx="17">
                  <c:v>45837</c:v>
                </c:pt>
                <c:pt idx="18">
                  <c:v>45844</c:v>
                </c:pt>
                <c:pt idx="19">
                  <c:v>45851</c:v>
                </c:pt>
                <c:pt idx="20">
                  <c:v>45858</c:v>
                </c:pt>
                <c:pt idx="21">
                  <c:v>45865</c:v>
                </c:pt>
                <c:pt idx="22">
                  <c:v>45872</c:v>
                </c:pt>
                <c:pt idx="23">
                  <c:v>45879</c:v>
                </c:pt>
                <c:pt idx="24">
                  <c:v>45886</c:v>
                </c:pt>
                <c:pt idx="25">
                  <c:v>45893</c:v>
                </c:pt>
                <c:pt idx="26">
                  <c:v>45900</c:v>
                </c:pt>
                <c:pt idx="27">
                  <c:v>45907</c:v>
                </c:pt>
                <c:pt idx="28">
                  <c:v>45914</c:v>
                </c:pt>
                <c:pt idx="29">
                  <c:v>45921</c:v>
                </c:pt>
                <c:pt idx="30">
                  <c:v>45928</c:v>
                </c:pt>
                <c:pt idx="31">
                  <c:v>45935</c:v>
                </c:pt>
                <c:pt idx="32">
                  <c:v>45942</c:v>
                </c:pt>
                <c:pt idx="33">
                  <c:v>45949</c:v>
                </c:pt>
                <c:pt idx="34">
                  <c:v>45956</c:v>
                </c:pt>
                <c:pt idx="35">
                  <c:v>45963</c:v>
                </c:pt>
                <c:pt idx="36">
                  <c:v>45970</c:v>
                </c:pt>
                <c:pt idx="37">
                  <c:v>45977</c:v>
                </c:pt>
                <c:pt idx="38">
                  <c:v>45984</c:v>
                </c:pt>
                <c:pt idx="39">
                  <c:v>45991</c:v>
                </c:pt>
                <c:pt idx="40">
                  <c:v>45998</c:v>
                </c:pt>
                <c:pt idx="41">
                  <c:v>46005</c:v>
                </c:pt>
                <c:pt idx="42">
                  <c:v>46012</c:v>
                </c:pt>
                <c:pt idx="43">
                  <c:v>46019</c:v>
                </c:pt>
                <c:pt idx="44">
                  <c:v>46026</c:v>
                </c:pt>
                <c:pt idx="45">
                  <c:v>46033</c:v>
                </c:pt>
                <c:pt idx="46">
                  <c:v>46040</c:v>
                </c:pt>
                <c:pt idx="47">
                  <c:v>46047</c:v>
                </c:pt>
                <c:pt idx="48">
                  <c:v>46054</c:v>
                </c:pt>
                <c:pt idx="49">
                  <c:v>46061</c:v>
                </c:pt>
                <c:pt idx="50">
                  <c:v>46068</c:v>
                </c:pt>
                <c:pt idx="51">
                  <c:v>46075</c:v>
                </c:pt>
                <c:pt idx="52">
                  <c:v>46082</c:v>
                </c:pt>
                <c:pt idx="53">
                  <c:v>46089</c:v>
                </c:pt>
                <c:pt idx="54">
                  <c:v>46096</c:v>
                </c:pt>
                <c:pt idx="55">
                  <c:v>46103</c:v>
                </c:pt>
                <c:pt idx="56">
                  <c:v>46110</c:v>
                </c:pt>
              </c:numCache>
            </c:numRef>
          </c:cat>
          <c:val>
            <c:numRef>
              <c:f>'Weekly Time Series'!$F$2:$F$60</c:f>
              <c:numCache>
                <c:formatCode>0.00</c:formatCode>
                <c:ptCount val="57"/>
                <c:pt idx="0">
                  <c:v>3.3915591301088552</c:v>
                </c:pt>
                <c:pt idx="1">
                  <c:v>3.3915591301088552</c:v>
                </c:pt>
                <c:pt idx="2">
                  <c:v>3.3915591301088552</c:v>
                </c:pt>
                <c:pt idx="3">
                  <c:v>3.4199876319564808</c:v>
                </c:pt>
                <c:pt idx="4">
                  <c:v>3.4504549117470908</c:v>
                </c:pt>
                <c:pt idx="5">
                  <c:v>3.3802942763097135</c:v>
                </c:pt>
                <c:pt idx="6">
                  <c:v>3.1082844986822424</c:v>
                </c:pt>
                <c:pt idx="7">
                  <c:v>3.1082844986822424</c:v>
                </c:pt>
                <c:pt idx="8">
                  <c:v>3.1082844986822424</c:v>
                </c:pt>
                <c:pt idx="9">
                  <c:v>3.3259774626399015</c:v>
                </c:pt>
                <c:pt idx="10">
                  <c:v>3.3259774626399015</c:v>
                </c:pt>
                <c:pt idx="11">
                  <c:v>3.3259774626399015</c:v>
                </c:pt>
                <c:pt idx="12">
                  <c:v>3.3259774626399015</c:v>
                </c:pt>
                <c:pt idx="13">
                  <c:v>3.3259774626399015</c:v>
                </c:pt>
                <c:pt idx="14">
                  <c:v>3.3259774626399015</c:v>
                </c:pt>
                <c:pt idx="15">
                  <c:v>3.3259774626399015</c:v>
                </c:pt>
                <c:pt idx="16">
                  <c:v>3.3227848838188132</c:v>
                </c:pt>
                <c:pt idx="17">
                  <c:v>3.3227848838188132</c:v>
                </c:pt>
                <c:pt idx="18">
                  <c:v>3.4568233572748204</c:v>
                </c:pt>
                <c:pt idx="19">
                  <c:v>3.4568233572748204</c:v>
                </c:pt>
                <c:pt idx="20">
                  <c:v>3.6119489986359095</c:v>
                </c:pt>
                <c:pt idx="21">
                  <c:v>3.6119489986359095</c:v>
                </c:pt>
                <c:pt idx="22">
                  <c:v>3.3033117891925983</c:v>
                </c:pt>
                <c:pt idx="23">
                  <c:v>3.3033117891925983</c:v>
                </c:pt>
                <c:pt idx="24">
                  <c:v>3.3033117891925983</c:v>
                </c:pt>
                <c:pt idx="25">
                  <c:v>3.3033117891925983</c:v>
                </c:pt>
                <c:pt idx="26">
                  <c:v>3.3033117891925983</c:v>
                </c:pt>
                <c:pt idx="27">
                  <c:v>3.3033117891925983</c:v>
                </c:pt>
                <c:pt idx="28">
                  <c:v>3.3033117891925983</c:v>
                </c:pt>
                <c:pt idx="29">
                  <c:v>3.3033117891925983</c:v>
                </c:pt>
                <c:pt idx="30">
                  <c:v>3.162313529407907</c:v>
                </c:pt>
                <c:pt idx="31">
                  <c:v>3.1838083593907776</c:v>
                </c:pt>
                <c:pt idx="32">
                  <c:v>3.1838083593907776</c:v>
                </c:pt>
                <c:pt idx="33">
                  <c:v>3.2161237215506504</c:v>
                </c:pt>
                <c:pt idx="34">
                  <c:v>3.2504129521988405</c:v>
                </c:pt>
                <c:pt idx="35">
                  <c:v>3.2504129521988405</c:v>
                </c:pt>
                <c:pt idx="36">
                  <c:v>3.2504129521988405</c:v>
                </c:pt>
                <c:pt idx="37">
                  <c:v>3.2504129521988405</c:v>
                </c:pt>
                <c:pt idx="38">
                  <c:v>3.2504129521988405</c:v>
                </c:pt>
                <c:pt idx="39">
                  <c:v>3.2504129521988405</c:v>
                </c:pt>
                <c:pt idx="40">
                  <c:v>3.2504129521988405</c:v>
                </c:pt>
                <c:pt idx="41" formatCode="General">
                  <c:v>3.21</c:v>
                </c:pt>
                <c:pt idx="42">
                  <c:v>3.3</c:v>
                </c:pt>
                <c:pt idx="43" formatCode="General">
                  <c:v>3.26</c:v>
                </c:pt>
                <c:pt idx="44" formatCode="General">
                  <c:v>3.28</c:v>
                </c:pt>
                <c:pt idx="45">
                  <c:v>3.24</c:v>
                </c:pt>
                <c:pt idx="46">
                  <c:v>3.1</c:v>
                </c:pt>
                <c:pt idx="47">
                  <c:v>3.3246859999999998</c:v>
                </c:pt>
                <c:pt idx="48">
                  <c:v>3.2574700000000001</c:v>
                </c:pt>
                <c:pt idx="49" formatCode="General">
                  <c:v>2.81</c:v>
                </c:pt>
                <c:pt idx="50">
                  <c:v>2.9320729999999999</c:v>
                </c:pt>
                <c:pt idx="51" formatCode="General">
                  <c:v>2.78</c:v>
                </c:pt>
                <c:pt idx="52">
                  <c:v>3.1010909999999998</c:v>
                </c:pt>
                <c:pt idx="53">
                  <c:v>2.9007909999999999</c:v>
                </c:pt>
                <c:pt idx="54">
                  <c:v>3.0732970000000002</c:v>
                </c:pt>
                <c:pt idx="55">
                  <c:v>3.0723660000000002</c:v>
                </c:pt>
                <c:pt idx="56">
                  <c:v>3.0723660000000002</c:v>
                </c:pt>
              </c:numCache>
            </c:numRef>
          </c:val>
          <c:extLst>
            <c:ext xmlns:c16="http://schemas.microsoft.com/office/drawing/2014/chart" uri="{C3380CC4-5D6E-409C-BE32-E72D297353CC}">
              <c16:uniqueId val="{00000001-094E-4E86-9929-3A16C04D05E2}"/>
            </c:ext>
          </c:extLst>
        </c:ser>
        <c:ser>
          <c:idx val="4"/>
          <c:order val="1"/>
          <c:tx>
            <c:v>Core GDP Updated</c:v>
          </c:tx>
          <c:spPr>
            <a:solidFill>
              <a:srgbClr val="E97132"/>
            </a:solidFill>
            <a:ln>
              <a:noFill/>
            </a:ln>
            <a:effectLst/>
          </c:spPr>
          <c:invertIfNegative val="0"/>
          <c:cat>
            <c:numRef>
              <c:f>'Weekly Time Series'!$B$2:$B$60</c:f>
              <c:numCache>
                <c:formatCode>m/d/yyyy</c:formatCode>
                <c:ptCount val="57"/>
                <c:pt idx="0">
                  <c:v>45718</c:v>
                </c:pt>
                <c:pt idx="1">
                  <c:v>45725</c:v>
                </c:pt>
                <c:pt idx="2">
                  <c:v>45732</c:v>
                </c:pt>
                <c:pt idx="3">
                  <c:v>45739</c:v>
                </c:pt>
                <c:pt idx="4">
                  <c:v>45746</c:v>
                </c:pt>
                <c:pt idx="5">
                  <c:v>45753</c:v>
                </c:pt>
                <c:pt idx="6">
                  <c:v>45760</c:v>
                </c:pt>
                <c:pt idx="7">
                  <c:v>45767</c:v>
                </c:pt>
                <c:pt idx="8">
                  <c:v>45774</c:v>
                </c:pt>
                <c:pt idx="9">
                  <c:v>45781</c:v>
                </c:pt>
                <c:pt idx="10">
                  <c:v>45788</c:v>
                </c:pt>
                <c:pt idx="11">
                  <c:v>45795</c:v>
                </c:pt>
                <c:pt idx="12">
                  <c:v>45802</c:v>
                </c:pt>
                <c:pt idx="13">
                  <c:v>45809</c:v>
                </c:pt>
                <c:pt idx="14">
                  <c:v>45816</c:v>
                </c:pt>
                <c:pt idx="15">
                  <c:v>45823</c:v>
                </c:pt>
                <c:pt idx="16">
                  <c:v>45830</c:v>
                </c:pt>
                <c:pt idx="17">
                  <c:v>45837</c:v>
                </c:pt>
                <c:pt idx="18">
                  <c:v>45844</c:v>
                </c:pt>
                <c:pt idx="19">
                  <c:v>45851</c:v>
                </c:pt>
                <c:pt idx="20">
                  <c:v>45858</c:v>
                </c:pt>
                <c:pt idx="21">
                  <c:v>45865</c:v>
                </c:pt>
                <c:pt idx="22">
                  <c:v>45872</c:v>
                </c:pt>
                <c:pt idx="23">
                  <c:v>45879</c:v>
                </c:pt>
                <c:pt idx="24">
                  <c:v>45886</c:v>
                </c:pt>
                <c:pt idx="25">
                  <c:v>45893</c:v>
                </c:pt>
                <c:pt idx="26">
                  <c:v>45900</c:v>
                </c:pt>
                <c:pt idx="27">
                  <c:v>45907</c:v>
                </c:pt>
                <c:pt idx="28">
                  <c:v>45914</c:v>
                </c:pt>
                <c:pt idx="29">
                  <c:v>45921</c:v>
                </c:pt>
                <c:pt idx="30">
                  <c:v>45928</c:v>
                </c:pt>
                <c:pt idx="31">
                  <c:v>45935</c:v>
                </c:pt>
                <c:pt idx="32">
                  <c:v>45942</c:v>
                </c:pt>
                <c:pt idx="33">
                  <c:v>45949</c:v>
                </c:pt>
                <c:pt idx="34">
                  <c:v>45956</c:v>
                </c:pt>
                <c:pt idx="35">
                  <c:v>45963</c:v>
                </c:pt>
                <c:pt idx="36">
                  <c:v>45970</c:v>
                </c:pt>
                <c:pt idx="37">
                  <c:v>45977</c:v>
                </c:pt>
                <c:pt idx="38">
                  <c:v>45984</c:v>
                </c:pt>
                <c:pt idx="39">
                  <c:v>45991</c:v>
                </c:pt>
                <c:pt idx="40">
                  <c:v>45998</c:v>
                </c:pt>
                <c:pt idx="41">
                  <c:v>46005</c:v>
                </c:pt>
                <c:pt idx="42">
                  <c:v>46012</c:v>
                </c:pt>
                <c:pt idx="43">
                  <c:v>46019</c:v>
                </c:pt>
                <c:pt idx="44">
                  <c:v>46026</c:v>
                </c:pt>
                <c:pt idx="45">
                  <c:v>46033</c:v>
                </c:pt>
                <c:pt idx="46">
                  <c:v>46040</c:v>
                </c:pt>
                <c:pt idx="47">
                  <c:v>46047</c:v>
                </c:pt>
                <c:pt idx="48">
                  <c:v>46054</c:v>
                </c:pt>
                <c:pt idx="49">
                  <c:v>46061</c:v>
                </c:pt>
                <c:pt idx="50">
                  <c:v>46068</c:v>
                </c:pt>
                <c:pt idx="51">
                  <c:v>46075</c:v>
                </c:pt>
                <c:pt idx="52">
                  <c:v>46082</c:v>
                </c:pt>
                <c:pt idx="53">
                  <c:v>46089</c:v>
                </c:pt>
                <c:pt idx="54">
                  <c:v>46096</c:v>
                </c:pt>
                <c:pt idx="55">
                  <c:v>46103</c:v>
                </c:pt>
                <c:pt idx="56">
                  <c:v>46110</c:v>
                </c:pt>
              </c:numCache>
            </c:numRef>
          </c:cat>
          <c:val>
            <c:numRef>
              <c:f>'Weekly Time Series'!$G$2:$G$60</c:f>
              <c:numCache>
                <c:formatCode>General</c:formatCode>
                <c:ptCount val="57"/>
                <c:pt idx="48" formatCode="0.00">
                  <c:v>2.350606</c:v>
                </c:pt>
                <c:pt idx="49">
                  <c:v>2.62</c:v>
                </c:pt>
                <c:pt idx="50" formatCode="0.00">
                  <c:v>2.6169889999999998</c:v>
                </c:pt>
                <c:pt idx="51">
                  <c:v>2.59</c:v>
                </c:pt>
                <c:pt idx="52" formatCode="0.00">
                  <c:v>2.7382559999999998</c:v>
                </c:pt>
                <c:pt idx="53" formatCode="0.00">
                  <c:v>2.6615419999999999</c:v>
                </c:pt>
                <c:pt idx="54" formatCode="0.00">
                  <c:v>2.6661440000000001</c:v>
                </c:pt>
                <c:pt idx="55" formatCode="0.00">
                  <c:v>2.6453359999999999</c:v>
                </c:pt>
                <c:pt idx="56" formatCode="0.00">
                  <c:v>2.6453359999999999</c:v>
                </c:pt>
              </c:numCache>
            </c:numRef>
          </c:val>
          <c:extLst>
            <c:ext xmlns:c16="http://schemas.microsoft.com/office/drawing/2014/chart" uri="{C3380CC4-5D6E-409C-BE32-E72D297353CC}">
              <c16:uniqueId val="{00000001-85C0-4B5C-B29F-64A7907D75AA}"/>
            </c:ext>
          </c:extLst>
        </c:ser>
        <c:ser>
          <c:idx val="1"/>
          <c:order val="2"/>
          <c:tx>
            <c:v>Net Exports</c:v>
          </c:tx>
          <c:spPr>
            <a:solidFill>
              <a:srgbClr val="C00000"/>
            </a:solidFill>
            <a:ln>
              <a:noFill/>
            </a:ln>
            <a:effectLst/>
          </c:spPr>
          <c:invertIfNegative val="0"/>
          <c:cat>
            <c:numRef>
              <c:f>'Weekly Time Series'!$B$2:$B$60</c:f>
              <c:numCache>
                <c:formatCode>m/d/yyyy</c:formatCode>
                <c:ptCount val="57"/>
                <c:pt idx="0">
                  <c:v>45718</c:v>
                </c:pt>
                <c:pt idx="1">
                  <c:v>45725</c:v>
                </c:pt>
                <c:pt idx="2">
                  <c:v>45732</c:v>
                </c:pt>
                <c:pt idx="3">
                  <c:v>45739</c:v>
                </c:pt>
                <c:pt idx="4">
                  <c:v>45746</c:v>
                </c:pt>
                <c:pt idx="5">
                  <c:v>45753</c:v>
                </c:pt>
                <c:pt idx="6">
                  <c:v>45760</c:v>
                </c:pt>
                <c:pt idx="7">
                  <c:v>45767</c:v>
                </c:pt>
                <c:pt idx="8">
                  <c:v>45774</c:v>
                </c:pt>
                <c:pt idx="9">
                  <c:v>45781</c:v>
                </c:pt>
                <c:pt idx="10">
                  <c:v>45788</c:v>
                </c:pt>
                <c:pt idx="11">
                  <c:v>45795</c:v>
                </c:pt>
                <c:pt idx="12">
                  <c:v>45802</c:v>
                </c:pt>
                <c:pt idx="13">
                  <c:v>45809</c:v>
                </c:pt>
                <c:pt idx="14">
                  <c:v>45816</c:v>
                </c:pt>
                <c:pt idx="15">
                  <c:v>45823</c:v>
                </c:pt>
                <c:pt idx="16">
                  <c:v>45830</c:v>
                </c:pt>
                <c:pt idx="17">
                  <c:v>45837</c:v>
                </c:pt>
                <c:pt idx="18">
                  <c:v>45844</c:v>
                </c:pt>
                <c:pt idx="19">
                  <c:v>45851</c:v>
                </c:pt>
                <c:pt idx="20">
                  <c:v>45858</c:v>
                </c:pt>
                <c:pt idx="21">
                  <c:v>45865</c:v>
                </c:pt>
                <c:pt idx="22">
                  <c:v>45872</c:v>
                </c:pt>
                <c:pt idx="23">
                  <c:v>45879</c:v>
                </c:pt>
                <c:pt idx="24">
                  <c:v>45886</c:v>
                </c:pt>
                <c:pt idx="25">
                  <c:v>45893</c:v>
                </c:pt>
                <c:pt idx="26">
                  <c:v>45900</c:v>
                </c:pt>
                <c:pt idx="27">
                  <c:v>45907</c:v>
                </c:pt>
                <c:pt idx="28">
                  <c:v>45914</c:v>
                </c:pt>
                <c:pt idx="29">
                  <c:v>45921</c:v>
                </c:pt>
                <c:pt idx="30">
                  <c:v>45928</c:v>
                </c:pt>
                <c:pt idx="31">
                  <c:v>45935</c:v>
                </c:pt>
                <c:pt idx="32">
                  <c:v>45942</c:v>
                </c:pt>
                <c:pt idx="33">
                  <c:v>45949</c:v>
                </c:pt>
                <c:pt idx="34">
                  <c:v>45956</c:v>
                </c:pt>
                <c:pt idx="35">
                  <c:v>45963</c:v>
                </c:pt>
                <c:pt idx="36">
                  <c:v>45970</c:v>
                </c:pt>
                <c:pt idx="37">
                  <c:v>45977</c:v>
                </c:pt>
                <c:pt idx="38">
                  <c:v>45984</c:v>
                </c:pt>
                <c:pt idx="39">
                  <c:v>45991</c:v>
                </c:pt>
                <c:pt idx="40">
                  <c:v>45998</c:v>
                </c:pt>
                <c:pt idx="41">
                  <c:v>46005</c:v>
                </c:pt>
                <c:pt idx="42">
                  <c:v>46012</c:v>
                </c:pt>
                <c:pt idx="43">
                  <c:v>46019</c:v>
                </c:pt>
                <c:pt idx="44">
                  <c:v>46026</c:v>
                </c:pt>
                <c:pt idx="45">
                  <c:v>46033</c:v>
                </c:pt>
                <c:pt idx="46">
                  <c:v>46040</c:v>
                </c:pt>
                <c:pt idx="47">
                  <c:v>46047</c:v>
                </c:pt>
                <c:pt idx="48">
                  <c:v>46054</c:v>
                </c:pt>
                <c:pt idx="49">
                  <c:v>46061</c:v>
                </c:pt>
                <c:pt idx="50">
                  <c:v>46068</c:v>
                </c:pt>
                <c:pt idx="51">
                  <c:v>46075</c:v>
                </c:pt>
                <c:pt idx="52">
                  <c:v>46082</c:v>
                </c:pt>
                <c:pt idx="53">
                  <c:v>46089</c:v>
                </c:pt>
                <c:pt idx="54">
                  <c:v>46096</c:v>
                </c:pt>
                <c:pt idx="55">
                  <c:v>46103</c:v>
                </c:pt>
                <c:pt idx="56">
                  <c:v>46110</c:v>
                </c:pt>
              </c:numCache>
            </c:numRef>
          </c:cat>
          <c:val>
            <c:numRef>
              <c:f>'Weekly Time Series'!$H$2:$H$60</c:f>
              <c:numCache>
                <c:formatCode>0.00</c:formatCode>
                <c:ptCount val="57"/>
                <c:pt idx="0">
                  <c:v>-3.38</c:v>
                </c:pt>
                <c:pt idx="1">
                  <c:v>-3.5556358333056348</c:v>
                </c:pt>
                <c:pt idx="2">
                  <c:v>-3.5556358333056348</c:v>
                </c:pt>
                <c:pt idx="3">
                  <c:v>-3.5556358333056348</c:v>
                </c:pt>
                <c:pt idx="4">
                  <c:v>-3.5556358333056348</c:v>
                </c:pt>
                <c:pt idx="5">
                  <c:v>-3.17</c:v>
                </c:pt>
                <c:pt idx="6">
                  <c:v>1.92</c:v>
                </c:pt>
                <c:pt idx="7">
                  <c:v>1.92</c:v>
                </c:pt>
                <c:pt idx="8">
                  <c:v>1.92</c:v>
                </c:pt>
                <c:pt idx="9">
                  <c:v>1.92</c:v>
                </c:pt>
                <c:pt idx="10">
                  <c:v>1.92</c:v>
                </c:pt>
                <c:pt idx="11">
                  <c:v>1.92</c:v>
                </c:pt>
                <c:pt idx="12">
                  <c:v>1.92</c:v>
                </c:pt>
                <c:pt idx="13">
                  <c:v>3.3</c:v>
                </c:pt>
                <c:pt idx="14">
                  <c:v>3.34</c:v>
                </c:pt>
                <c:pt idx="15">
                  <c:v>3.34</c:v>
                </c:pt>
                <c:pt idx="16">
                  <c:v>3.34</c:v>
                </c:pt>
                <c:pt idx="17">
                  <c:v>3.84</c:v>
                </c:pt>
                <c:pt idx="18">
                  <c:v>3.87</c:v>
                </c:pt>
                <c:pt idx="19">
                  <c:v>3.67</c:v>
                </c:pt>
                <c:pt idx="20">
                  <c:v>3.67</c:v>
                </c:pt>
                <c:pt idx="21">
                  <c:v>3.67</c:v>
                </c:pt>
                <c:pt idx="22">
                  <c:v>0.73</c:v>
                </c:pt>
                <c:pt idx="23">
                  <c:v>0.61</c:v>
                </c:pt>
                <c:pt idx="24">
                  <c:v>0.61</c:v>
                </c:pt>
                <c:pt idx="25">
                  <c:v>0.61</c:v>
                </c:pt>
                <c:pt idx="26">
                  <c:v>-0.49</c:v>
                </c:pt>
                <c:pt idx="27">
                  <c:v>-0.33</c:v>
                </c:pt>
                <c:pt idx="28">
                  <c:v>-0.33</c:v>
                </c:pt>
                <c:pt idx="29">
                  <c:v>-0.33</c:v>
                </c:pt>
                <c:pt idx="30">
                  <c:v>-0.33</c:v>
                </c:pt>
                <c:pt idx="31">
                  <c:v>-0.33</c:v>
                </c:pt>
                <c:pt idx="32">
                  <c:v>-0.33</c:v>
                </c:pt>
                <c:pt idx="33">
                  <c:v>-0.33</c:v>
                </c:pt>
                <c:pt idx="34">
                  <c:v>-0.33</c:v>
                </c:pt>
                <c:pt idx="35">
                  <c:v>-0.33</c:v>
                </c:pt>
                <c:pt idx="36">
                  <c:v>-0.33</c:v>
                </c:pt>
                <c:pt idx="37">
                  <c:v>-0.33</c:v>
                </c:pt>
                <c:pt idx="38">
                  <c:v>1.29</c:v>
                </c:pt>
                <c:pt idx="39">
                  <c:v>1.29</c:v>
                </c:pt>
                <c:pt idx="40">
                  <c:v>1.29</c:v>
                </c:pt>
                <c:pt idx="41" formatCode="General">
                  <c:v>0.14000000000000001</c:v>
                </c:pt>
                <c:pt idx="42" formatCode="General">
                  <c:v>0.14000000000000001</c:v>
                </c:pt>
                <c:pt idx="43" formatCode="General">
                  <c:v>0.14000000000000001</c:v>
                </c:pt>
                <c:pt idx="44" formatCode="General">
                  <c:v>0.14000000000000001</c:v>
                </c:pt>
                <c:pt idx="45" formatCode="General">
                  <c:v>1.93</c:v>
                </c:pt>
                <c:pt idx="46" formatCode="General">
                  <c:v>1.93</c:v>
                </c:pt>
                <c:pt idx="47" formatCode="General">
                  <c:v>1.93</c:v>
                </c:pt>
                <c:pt idx="48" formatCode="General">
                  <c:v>2.0499999999999998</c:v>
                </c:pt>
                <c:pt idx="49" formatCode="General">
                  <c:v>-1.73</c:v>
                </c:pt>
                <c:pt idx="50" formatCode="General">
                  <c:v>-1.73</c:v>
                </c:pt>
                <c:pt idx="51" formatCode="General">
                  <c:v>-1.1100000000000001</c:v>
                </c:pt>
                <c:pt idx="52" formatCode="General">
                  <c:v>-0.61</c:v>
                </c:pt>
                <c:pt idx="53" formatCode="General">
                  <c:v>-0.61</c:v>
                </c:pt>
                <c:pt idx="54" formatCode="General">
                  <c:v>-0.23</c:v>
                </c:pt>
                <c:pt idx="55" formatCode="General">
                  <c:v>-0.23</c:v>
                </c:pt>
                <c:pt idx="56" formatCode="General">
                  <c:v>-0.23</c:v>
                </c:pt>
              </c:numCache>
            </c:numRef>
          </c:val>
          <c:extLst>
            <c:ext xmlns:c16="http://schemas.microsoft.com/office/drawing/2014/chart" uri="{C3380CC4-5D6E-409C-BE32-E72D297353CC}">
              <c16:uniqueId val="{00000003-094E-4E86-9929-3A16C04D05E2}"/>
            </c:ext>
          </c:extLst>
        </c:ser>
        <c:ser>
          <c:idx val="2"/>
          <c:order val="3"/>
          <c:tx>
            <c:v>Private Inventories</c:v>
          </c:tx>
          <c:spPr>
            <a:solidFill>
              <a:srgbClr val="156082"/>
            </a:solidFill>
            <a:ln>
              <a:noFill/>
            </a:ln>
            <a:effectLst/>
          </c:spPr>
          <c:invertIfNegative val="0"/>
          <c:cat>
            <c:numRef>
              <c:f>'Weekly Time Series'!$B$2:$B$60</c:f>
              <c:numCache>
                <c:formatCode>m/d/yyyy</c:formatCode>
                <c:ptCount val="57"/>
                <c:pt idx="0">
                  <c:v>45718</c:v>
                </c:pt>
                <c:pt idx="1">
                  <c:v>45725</c:v>
                </c:pt>
                <c:pt idx="2">
                  <c:v>45732</c:v>
                </c:pt>
                <c:pt idx="3">
                  <c:v>45739</c:v>
                </c:pt>
                <c:pt idx="4">
                  <c:v>45746</c:v>
                </c:pt>
                <c:pt idx="5">
                  <c:v>45753</c:v>
                </c:pt>
                <c:pt idx="6">
                  <c:v>45760</c:v>
                </c:pt>
                <c:pt idx="7">
                  <c:v>45767</c:v>
                </c:pt>
                <c:pt idx="8">
                  <c:v>45774</c:v>
                </c:pt>
                <c:pt idx="9">
                  <c:v>45781</c:v>
                </c:pt>
                <c:pt idx="10">
                  <c:v>45788</c:v>
                </c:pt>
                <c:pt idx="11">
                  <c:v>45795</c:v>
                </c:pt>
                <c:pt idx="12">
                  <c:v>45802</c:v>
                </c:pt>
                <c:pt idx="13">
                  <c:v>45809</c:v>
                </c:pt>
                <c:pt idx="14">
                  <c:v>45816</c:v>
                </c:pt>
                <c:pt idx="15">
                  <c:v>45823</c:v>
                </c:pt>
                <c:pt idx="16">
                  <c:v>45830</c:v>
                </c:pt>
                <c:pt idx="17">
                  <c:v>45837</c:v>
                </c:pt>
                <c:pt idx="18">
                  <c:v>45844</c:v>
                </c:pt>
                <c:pt idx="19">
                  <c:v>45851</c:v>
                </c:pt>
                <c:pt idx="20">
                  <c:v>45858</c:v>
                </c:pt>
                <c:pt idx="21">
                  <c:v>45865</c:v>
                </c:pt>
                <c:pt idx="22">
                  <c:v>45872</c:v>
                </c:pt>
                <c:pt idx="23">
                  <c:v>45879</c:v>
                </c:pt>
                <c:pt idx="24">
                  <c:v>45886</c:v>
                </c:pt>
                <c:pt idx="25">
                  <c:v>45893</c:v>
                </c:pt>
                <c:pt idx="26">
                  <c:v>45900</c:v>
                </c:pt>
                <c:pt idx="27">
                  <c:v>45907</c:v>
                </c:pt>
                <c:pt idx="28">
                  <c:v>45914</c:v>
                </c:pt>
                <c:pt idx="29">
                  <c:v>45921</c:v>
                </c:pt>
                <c:pt idx="30">
                  <c:v>45928</c:v>
                </c:pt>
                <c:pt idx="31">
                  <c:v>45935</c:v>
                </c:pt>
                <c:pt idx="32">
                  <c:v>45942</c:v>
                </c:pt>
                <c:pt idx="33">
                  <c:v>45949</c:v>
                </c:pt>
                <c:pt idx="34">
                  <c:v>45956</c:v>
                </c:pt>
                <c:pt idx="35">
                  <c:v>45963</c:v>
                </c:pt>
                <c:pt idx="36">
                  <c:v>45970</c:v>
                </c:pt>
                <c:pt idx="37">
                  <c:v>45977</c:v>
                </c:pt>
                <c:pt idx="38">
                  <c:v>45984</c:v>
                </c:pt>
                <c:pt idx="39">
                  <c:v>45991</c:v>
                </c:pt>
                <c:pt idx="40">
                  <c:v>45998</c:v>
                </c:pt>
                <c:pt idx="41">
                  <c:v>46005</c:v>
                </c:pt>
                <c:pt idx="42">
                  <c:v>46012</c:v>
                </c:pt>
                <c:pt idx="43">
                  <c:v>46019</c:v>
                </c:pt>
                <c:pt idx="44">
                  <c:v>46026</c:v>
                </c:pt>
                <c:pt idx="45">
                  <c:v>46033</c:v>
                </c:pt>
                <c:pt idx="46">
                  <c:v>46040</c:v>
                </c:pt>
                <c:pt idx="47">
                  <c:v>46047</c:v>
                </c:pt>
                <c:pt idx="48">
                  <c:v>46054</c:v>
                </c:pt>
                <c:pt idx="49">
                  <c:v>46061</c:v>
                </c:pt>
                <c:pt idx="50">
                  <c:v>46068</c:v>
                </c:pt>
                <c:pt idx="51">
                  <c:v>46075</c:v>
                </c:pt>
                <c:pt idx="52">
                  <c:v>46082</c:v>
                </c:pt>
                <c:pt idx="53">
                  <c:v>46089</c:v>
                </c:pt>
                <c:pt idx="54">
                  <c:v>46096</c:v>
                </c:pt>
                <c:pt idx="55">
                  <c:v>46103</c:v>
                </c:pt>
                <c:pt idx="56">
                  <c:v>46110</c:v>
                </c:pt>
              </c:numCache>
            </c:numRef>
          </c:cat>
          <c:val>
            <c:numRef>
              <c:f>'Weekly Time Series'!$I$2:$I$60</c:f>
              <c:numCache>
                <c:formatCode>0.00</c:formatCode>
                <c:ptCount val="57"/>
                <c:pt idx="0">
                  <c:v>0.4</c:v>
                </c:pt>
                <c:pt idx="1">
                  <c:v>0.4</c:v>
                </c:pt>
                <c:pt idx="2">
                  <c:v>0.4</c:v>
                </c:pt>
                <c:pt idx="3">
                  <c:v>0.7</c:v>
                </c:pt>
                <c:pt idx="4">
                  <c:v>0.4</c:v>
                </c:pt>
                <c:pt idx="5">
                  <c:v>0.3</c:v>
                </c:pt>
                <c:pt idx="6">
                  <c:v>-0.5</c:v>
                </c:pt>
                <c:pt idx="7">
                  <c:v>-0.5</c:v>
                </c:pt>
                <c:pt idx="8">
                  <c:v>-0.5</c:v>
                </c:pt>
                <c:pt idx="9">
                  <c:v>-0.5</c:v>
                </c:pt>
                <c:pt idx="10">
                  <c:v>-0.5</c:v>
                </c:pt>
                <c:pt idx="11">
                  <c:v>-0.5</c:v>
                </c:pt>
                <c:pt idx="12">
                  <c:v>-0.5</c:v>
                </c:pt>
                <c:pt idx="13">
                  <c:v>-0.7</c:v>
                </c:pt>
                <c:pt idx="14">
                  <c:v>-1.2</c:v>
                </c:pt>
                <c:pt idx="15">
                  <c:v>-1.2</c:v>
                </c:pt>
                <c:pt idx="16">
                  <c:v>-1.2</c:v>
                </c:pt>
                <c:pt idx="17">
                  <c:v>-2.2999999999999998</c:v>
                </c:pt>
                <c:pt idx="18">
                  <c:v>-2.2999999999999998</c:v>
                </c:pt>
                <c:pt idx="19">
                  <c:v>-2.81</c:v>
                </c:pt>
                <c:pt idx="20">
                  <c:v>-2.81</c:v>
                </c:pt>
                <c:pt idx="21">
                  <c:v>-2.81</c:v>
                </c:pt>
                <c:pt idx="22">
                  <c:v>-1.53</c:v>
                </c:pt>
                <c:pt idx="23">
                  <c:v>-1.53</c:v>
                </c:pt>
                <c:pt idx="24">
                  <c:v>-1.53</c:v>
                </c:pt>
                <c:pt idx="25">
                  <c:v>-1.53</c:v>
                </c:pt>
                <c:pt idx="26">
                  <c:v>-0.8</c:v>
                </c:pt>
                <c:pt idx="27">
                  <c:v>-0.8</c:v>
                </c:pt>
                <c:pt idx="28">
                  <c:v>-0.8</c:v>
                </c:pt>
                <c:pt idx="29">
                  <c:v>-0.8</c:v>
                </c:pt>
                <c:pt idx="30">
                  <c:v>-0.8</c:v>
                </c:pt>
                <c:pt idx="31">
                  <c:v>-0.52</c:v>
                </c:pt>
                <c:pt idx="32">
                  <c:v>-0.52</c:v>
                </c:pt>
                <c:pt idx="33">
                  <c:v>-0.52</c:v>
                </c:pt>
                <c:pt idx="34">
                  <c:v>-0.18</c:v>
                </c:pt>
                <c:pt idx="35">
                  <c:v>-0.18</c:v>
                </c:pt>
                <c:pt idx="36">
                  <c:v>-0.18</c:v>
                </c:pt>
                <c:pt idx="37">
                  <c:v>-0.18</c:v>
                </c:pt>
                <c:pt idx="38">
                  <c:v>0.36</c:v>
                </c:pt>
                <c:pt idx="39">
                  <c:v>0.36</c:v>
                </c:pt>
                <c:pt idx="40">
                  <c:v>0.36</c:v>
                </c:pt>
                <c:pt idx="41" formatCode="General">
                  <c:v>0.36</c:v>
                </c:pt>
                <c:pt idx="42" formatCode="General">
                  <c:v>0.36</c:v>
                </c:pt>
                <c:pt idx="43" formatCode="General">
                  <c:v>0.36</c:v>
                </c:pt>
                <c:pt idx="44" formatCode="General">
                  <c:v>0.76</c:v>
                </c:pt>
                <c:pt idx="45" formatCode="General">
                  <c:v>0.75</c:v>
                </c:pt>
                <c:pt idx="46" formatCode="General">
                  <c:v>0.77</c:v>
                </c:pt>
                <c:pt idx="47" formatCode="General">
                  <c:v>0.77</c:v>
                </c:pt>
                <c:pt idx="48" formatCode="General">
                  <c:v>0.77</c:v>
                </c:pt>
                <c:pt idx="49" formatCode="General">
                  <c:v>0.28000000000000003</c:v>
                </c:pt>
                <c:pt idx="50" formatCode="General">
                  <c:v>0.18</c:v>
                </c:pt>
                <c:pt idx="51" formatCode="General">
                  <c:v>0.18</c:v>
                </c:pt>
                <c:pt idx="52" formatCode="General">
                  <c:v>-0.15</c:v>
                </c:pt>
                <c:pt idx="53" formatCode="General">
                  <c:v>-0.22</c:v>
                </c:pt>
                <c:pt idx="54" formatCode="General">
                  <c:v>-0.22</c:v>
                </c:pt>
                <c:pt idx="55" formatCode="General">
                  <c:v>-0.22</c:v>
                </c:pt>
                <c:pt idx="56" formatCode="General">
                  <c:v>-0.22</c:v>
                </c:pt>
              </c:numCache>
            </c:numRef>
          </c:val>
          <c:extLst>
            <c:ext xmlns:c16="http://schemas.microsoft.com/office/drawing/2014/chart" uri="{C3380CC4-5D6E-409C-BE32-E72D297353CC}">
              <c16:uniqueId val="{00000005-094E-4E86-9929-3A16C04D05E2}"/>
            </c:ext>
          </c:extLst>
        </c:ser>
        <c:dLbls>
          <c:showLegendKey val="0"/>
          <c:showVal val="0"/>
          <c:showCatName val="0"/>
          <c:showSerName val="0"/>
          <c:showPercent val="0"/>
          <c:showBubbleSize val="0"/>
        </c:dLbls>
        <c:gapWidth val="150"/>
        <c:axId val="317334912"/>
        <c:axId val="317336640"/>
      </c:barChart>
      <c:lineChart>
        <c:grouping val="standard"/>
        <c:varyColors val="0"/>
        <c:ser>
          <c:idx val="3"/>
          <c:order val="4"/>
          <c:tx>
            <c:v>GDP</c:v>
          </c:tx>
          <c:spPr>
            <a:ln w="28575" cap="rnd">
              <a:solidFill>
                <a:srgbClr val="196B24"/>
              </a:solidFill>
              <a:prstDash val="solid"/>
              <a:round/>
            </a:ln>
            <a:effectLst/>
          </c:spPr>
          <c:marker>
            <c:symbol val="none"/>
          </c:marker>
          <c:cat>
            <c:numRef>
              <c:f>'Weekly Time Series'!$B$2:$B$60</c:f>
              <c:numCache>
                <c:formatCode>m/d/yyyy</c:formatCode>
                <c:ptCount val="57"/>
                <c:pt idx="0">
                  <c:v>45718</c:v>
                </c:pt>
                <c:pt idx="1">
                  <c:v>45725</c:v>
                </c:pt>
                <c:pt idx="2">
                  <c:v>45732</c:v>
                </c:pt>
                <c:pt idx="3">
                  <c:v>45739</c:v>
                </c:pt>
                <c:pt idx="4">
                  <c:v>45746</c:v>
                </c:pt>
                <c:pt idx="5">
                  <c:v>45753</c:v>
                </c:pt>
                <c:pt idx="6">
                  <c:v>45760</c:v>
                </c:pt>
                <c:pt idx="7">
                  <c:v>45767</c:v>
                </c:pt>
                <c:pt idx="8">
                  <c:v>45774</c:v>
                </c:pt>
                <c:pt idx="9">
                  <c:v>45781</c:v>
                </c:pt>
                <c:pt idx="10">
                  <c:v>45788</c:v>
                </c:pt>
                <c:pt idx="11">
                  <c:v>45795</c:v>
                </c:pt>
                <c:pt idx="12">
                  <c:v>45802</c:v>
                </c:pt>
                <c:pt idx="13">
                  <c:v>45809</c:v>
                </c:pt>
                <c:pt idx="14">
                  <c:v>45816</c:v>
                </c:pt>
                <c:pt idx="15">
                  <c:v>45823</c:v>
                </c:pt>
                <c:pt idx="16">
                  <c:v>45830</c:v>
                </c:pt>
                <c:pt idx="17">
                  <c:v>45837</c:v>
                </c:pt>
                <c:pt idx="18">
                  <c:v>45844</c:v>
                </c:pt>
                <c:pt idx="19">
                  <c:v>45851</c:v>
                </c:pt>
                <c:pt idx="20">
                  <c:v>45858</c:v>
                </c:pt>
                <c:pt idx="21">
                  <c:v>45865</c:v>
                </c:pt>
                <c:pt idx="22">
                  <c:v>45872</c:v>
                </c:pt>
                <c:pt idx="23">
                  <c:v>45879</c:v>
                </c:pt>
                <c:pt idx="24">
                  <c:v>45886</c:v>
                </c:pt>
                <c:pt idx="25">
                  <c:v>45893</c:v>
                </c:pt>
                <c:pt idx="26">
                  <c:v>45900</c:v>
                </c:pt>
                <c:pt idx="27">
                  <c:v>45907</c:v>
                </c:pt>
                <c:pt idx="28">
                  <c:v>45914</c:v>
                </c:pt>
                <c:pt idx="29">
                  <c:v>45921</c:v>
                </c:pt>
                <c:pt idx="30">
                  <c:v>45928</c:v>
                </c:pt>
                <c:pt idx="31">
                  <c:v>45935</c:v>
                </c:pt>
                <c:pt idx="32">
                  <c:v>45942</c:v>
                </c:pt>
                <c:pt idx="33">
                  <c:v>45949</c:v>
                </c:pt>
                <c:pt idx="34">
                  <c:v>45956</c:v>
                </c:pt>
                <c:pt idx="35">
                  <c:v>45963</c:v>
                </c:pt>
                <c:pt idx="36">
                  <c:v>45970</c:v>
                </c:pt>
                <c:pt idx="37">
                  <c:v>45977</c:v>
                </c:pt>
                <c:pt idx="38">
                  <c:v>45984</c:v>
                </c:pt>
                <c:pt idx="39">
                  <c:v>45991</c:v>
                </c:pt>
                <c:pt idx="40">
                  <c:v>45998</c:v>
                </c:pt>
                <c:pt idx="41">
                  <c:v>46005</c:v>
                </c:pt>
                <c:pt idx="42">
                  <c:v>46012</c:v>
                </c:pt>
                <c:pt idx="43">
                  <c:v>46019</c:v>
                </c:pt>
                <c:pt idx="44">
                  <c:v>46026</c:v>
                </c:pt>
                <c:pt idx="45">
                  <c:v>46033</c:v>
                </c:pt>
                <c:pt idx="46">
                  <c:v>46040</c:v>
                </c:pt>
                <c:pt idx="47">
                  <c:v>46047</c:v>
                </c:pt>
                <c:pt idx="48">
                  <c:v>46054</c:v>
                </c:pt>
                <c:pt idx="49">
                  <c:v>46061</c:v>
                </c:pt>
                <c:pt idx="50">
                  <c:v>46068</c:v>
                </c:pt>
                <c:pt idx="51">
                  <c:v>46075</c:v>
                </c:pt>
                <c:pt idx="52">
                  <c:v>46082</c:v>
                </c:pt>
                <c:pt idx="53">
                  <c:v>46089</c:v>
                </c:pt>
                <c:pt idx="54">
                  <c:v>46096</c:v>
                </c:pt>
                <c:pt idx="55">
                  <c:v>46103</c:v>
                </c:pt>
                <c:pt idx="56">
                  <c:v>46110</c:v>
                </c:pt>
              </c:numCache>
            </c:numRef>
          </c:cat>
          <c:val>
            <c:numRef>
              <c:f>'Weekly Time Series'!$J$2:$J$60</c:f>
              <c:numCache>
                <c:formatCode>0.00</c:formatCode>
                <c:ptCount val="57"/>
                <c:pt idx="0">
                  <c:v>0.41155913010885536</c:v>
                </c:pt>
                <c:pt idx="1">
                  <c:v>0.23592329680322044</c:v>
                </c:pt>
                <c:pt idx="2">
                  <c:v>0.23592329680322044</c:v>
                </c:pt>
                <c:pt idx="3">
                  <c:v>0.56435179865084595</c:v>
                </c:pt>
                <c:pt idx="4">
                  <c:v>0.29481907844145605</c:v>
                </c:pt>
                <c:pt idx="5">
                  <c:v>0.51029427630971358</c:v>
                </c:pt>
                <c:pt idx="6">
                  <c:v>4.5282844986822424</c:v>
                </c:pt>
                <c:pt idx="7">
                  <c:v>4.5282844986822424</c:v>
                </c:pt>
                <c:pt idx="8">
                  <c:v>4.5282844986822424</c:v>
                </c:pt>
                <c:pt idx="9">
                  <c:v>4.7459774626399014</c:v>
                </c:pt>
                <c:pt idx="10">
                  <c:v>4.7459774626399014</c:v>
                </c:pt>
                <c:pt idx="11">
                  <c:v>4.7459774626399014</c:v>
                </c:pt>
                <c:pt idx="12">
                  <c:v>4.7459774626399014</c:v>
                </c:pt>
                <c:pt idx="13">
                  <c:v>5.9259774626399011</c:v>
                </c:pt>
                <c:pt idx="14">
                  <c:v>5.4659774626399011</c:v>
                </c:pt>
                <c:pt idx="15">
                  <c:v>5.4659774626399011</c:v>
                </c:pt>
                <c:pt idx="16">
                  <c:v>5.4627848838188129</c:v>
                </c:pt>
                <c:pt idx="17">
                  <c:v>4.8627848838188132</c:v>
                </c:pt>
                <c:pt idx="18">
                  <c:v>5.0268233572748207</c:v>
                </c:pt>
                <c:pt idx="19">
                  <c:v>4.3168233572748207</c:v>
                </c:pt>
                <c:pt idx="20">
                  <c:v>4.4719489986359093</c:v>
                </c:pt>
                <c:pt idx="21">
                  <c:v>4.4719489986359093</c:v>
                </c:pt>
                <c:pt idx="22">
                  <c:v>2.5033117891925984</c:v>
                </c:pt>
                <c:pt idx="23">
                  <c:v>2.3833117891925983</c:v>
                </c:pt>
                <c:pt idx="24">
                  <c:v>2.3833117891925983</c:v>
                </c:pt>
                <c:pt idx="25">
                  <c:v>2.3833117891925983</c:v>
                </c:pt>
                <c:pt idx="26">
                  <c:v>2.0133117891925982</c:v>
                </c:pt>
                <c:pt idx="27">
                  <c:v>2.1733117891925984</c:v>
                </c:pt>
                <c:pt idx="28">
                  <c:v>2.1733117891925984</c:v>
                </c:pt>
                <c:pt idx="29">
                  <c:v>2.1733117891925984</c:v>
                </c:pt>
                <c:pt idx="30">
                  <c:v>2.0323135294079071</c:v>
                </c:pt>
                <c:pt idx="31">
                  <c:v>2.3338083593907775</c:v>
                </c:pt>
                <c:pt idx="32">
                  <c:v>2.3338083593907775</c:v>
                </c:pt>
                <c:pt idx="33">
                  <c:v>2.3661237215506503</c:v>
                </c:pt>
                <c:pt idx="34">
                  <c:v>2.7404129521988403</c:v>
                </c:pt>
                <c:pt idx="35">
                  <c:v>2.7404129521988403</c:v>
                </c:pt>
                <c:pt idx="36">
                  <c:v>2.7404129521988403</c:v>
                </c:pt>
                <c:pt idx="37">
                  <c:v>2.7404129521988403</c:v>
                </c:pt>
                <c:pt idx="38">
                  <c:v>4.9004129521988409</c:v>
                </c:pt>
                <c:pt idx="39">
                  <c:v>4.9004129521988409</c:v>
                </c:pt>
                <c:pt idx="40">
                  <c:v>4.9004129521988409</c:v>
                </c:pt>
                <c:pt idx="41" formatCode="General">
                  <c:v>3.71</c:v>
                </c:pt>
                <c:pt idx="42">
                  <c:v>3.8</c:v>
                </c:pt>
                <c:pt idx="43">
                  <c:v>3.76</c:v>
                </c:pt>
                <c:pt idx="44">
                  <c:v>4.18</c:v>
                </c:pt>
                <c:pt idx="45">
                  <c:v>5.92</c:v>
                </c:pt>
                <c:pt idx="46">
                  <c:v>5.8000000000000007</c:v>
                </c:pt>
                <c:pt idx="47">
                  <c:v>6.0246859999999991</c:v>
                </c:pt>
                <c:pt idx="48">
                  <c:v>5.1706059999999994</c:v>
                </c:pt>
                <c:pt idx="49">
                  <c:v>1.1700000000000002</c:v>
                </c:pt>
                <c:pt idx="50">
                  <c:v>1.0669889999999997</c:v>
                </c:pt>
                <c:pt idx="51">
                  <c:v>1.6599999999999997</c:v>
                </c:pt>
                <c:pt idx="52">
                  <c:v>1.978256</c:v>
                </c:pt>
                <c:pt idx="53">
                  <c:v>1.831542</c:v>
                </c:pt>
                <c:pt idx="54">
                  <c:v>2.2161439999999999</c:v>
                </c:pt>
                <c:pt idx="55">
                  <c:v>2.1953359999999997</c:v>
                </c:pt>
                <c:pt idx="56">
                  <c:v>2.1953359999999997</c:v>
                </c:pt>
              </c:numCache>
            </c:numRef>
          </c:val>
          <c:smooth val="0"/>
          <c:extLst>
            <c:ext xmlns:c16="http://schemas.microsoft.com/office/drawing/2014/chart" uri="{C3380CC4-5D6E-409C-BE32-E72D297353CC}">
              <c16:uniqueId val="{00000007-094E-4E86-9929-3A16C04D05E2}"/>
            </c:ext>
          </c:extLst>
        </c:ser>
        <c:dLbls>
          <c:showLegendKey val="0"/>
          <c:showVal val="0"/>
          <c:showCatName val="0"/>
          <c:showSerName val="0"/>
          <c:showPercent val="0"/>
          <c:showBubbleSize val="0"/>
        </c:dLbls>
        <c:marker val="1"/>
        <c:smooth val="0"/>
        <c:axId val="317334912"/>
        <c:axId val="317336640"/>
      </c:lineChart>
      <c:dateAx>
        <c:axId val="317334912"/>
        <c:scaling>
          <c:orientation val="minMax"/>
        </c:scaling>
        <c:delete val="0"/>
        <c:axPos val="b"/>
        <c:numFmt formatCode="m/d/yyyy" sourceLinked="1"/>
        <c:majorTickMark val="none"/>
        <c:minorTickMark val="none"/>
        <c:tickLblPos val="low"/>
        <c:spPr>
          <a:noFill/>
          <a:ln w="19050" cap="flat" cmpd="sng" algn="ctr">
            <a:solidFill>
              <a:schemeClr val="tx1"/>
            </a:solidFill>
            <a:prstDash val="dash"/>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17336640"/>
        <c:crosses val="autoZero"/>
        <c:auto val="1"/>
        <c:lblOffset val="100"/>
        <c:baseTimeUnit val="days"/>
      </c:dateAx>
      <c:valAx>
        <c:axId val="317336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kern="1200" baseline="0">
                    <a:solidFill>
                      <a:sysClr val="windowText" lastClr="000000">
                        <a:lumMod val="65000"/>
                        <a:lumOff val="35000"/>
                      </a:sysClr>
                    </a:solidFill>
                  </a:rPr>
                  <a:t>GDP Growth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17334912"/>
        <c:crosses val="autoZero"/>
        <c:crossBetween val="between"/>
      </c:valAx>
      <c:spPr>
        <a:noFill/>
        <a:ln w="12700">
          <a:solidFill>
            <a:schemeClr val="tx1"/>
          </a:solidFill>
        </a:ln>
        <a:effectLst/>
      </c:spPr>
    </c:plotArea>
    <c:legend>
      <c:legendPos val="b"/>
      <c:layout>
        <c:manualLayout>
          <c:xMode val="edge"/>
          <c:yMode val="edge"/>
          <c:x val="8.0775547600227593E-2"/>
          <c:y val="0.89165337810278422"/>
          <c:w val="0.88693559458913784"/>
          <c:h val="5.5377139302556798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Atlas Analytics: Q1 2026 GDP  3/29/2026</a:t>
            </a:r>
          </a:p>
        </c:rich>
      </c:tx>
      <c:layout>
        <c:manualLayout>
          <c:xMode val="edge"/>
          <c:yMode val="edge"/>
          <c:x val="0.23897709656465574"/>
          <c:y val="1.6162419841770071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552384076990373E-2"/>
          <c:y val="0.11658333333333333"/>
          <c:w val="0.89976706036745402"/>
          <c:h val="0.70101881014873146"/>
        </c:manualLayout>
      </c:layout>
      <c:barChart>
        <c:barDir val="col"/>
        <c:grouping val="clustered"/>
        <c:varyColors val="0"/>
        <c:ser>
          <c:idx val="1"/>
          <c:order val="0"/>
          <c:tx>
            <c:strRef>
              <c:f>'Weekly Time Series'!$B$60</c:f>
              <c:strCache>
                <c:ptCount val="1"/>
                <c:pt idx="0">
                  <c:v>3/29/2026</c:v>
                </c:pt>
              </c:strCache>
            </c:strRef>
          </c:tx>
          <c:spPr>
            <a:solidFill>
              <a:srgbClr val="E97132"/>
            </a:solidFill>
            <a:ln>
              <a:noFill/>
            </a:ln>
            <a:effectLst/>
          </c:spPr>
          <c:invertIfNegative val="0"/>
          <c:dPt>
            <c:idx val="1"/>
            <c:invertIfNegative val="0"/>
            <c:bubble3D val="0"/>
            <c:spPr>
              <a:solidFill>
                <a:srgbClr val="C00000"/>
              </a:solidFill>
              <a:ln>
                <a:noFill/>
              </a:ln>
              <a:effectLst/>
            </c:spPr>
            <c:extLst>
              <c:ext xmlns:c16="http://schemas.microsoft.com/office/drawing/2014/chart" uri="{C3380CC4-5D6E-409C-BE32-E72D297353CC}">
                <c16:uniqueId val="{00000002-FB37-4A76-B27E-85B7E8DB6195}"/>
              </c:ext>
            </c:extLst>
          </c:dPt>
          <c:dPt>
            <c:idx val="2"/>
            <c:invertIfNegative val="0"/>
            <c:bubble3D val="0"/>
            <c:spPr>
              <a:solidFill>
                <a:srgbClr val="156082"/>
              </a:solidFill>
              <a:ln>
                <a:noFill/>
              </a:ln>
              <a:effectLst/>
            </c:spPr>
            <c:extLst>
              <c:ext xmlns:c16="http://schemas.microsoft.com/office/drawing/2014/chart" uri="{C3380CC4-5D6E-409C-BE32-E72D297353CC}">
                <c16:uniqueId val="{00000000-31E5-48E8-9242-B9E45882636F}"/>
              </c:ext>
            </c:extLst>
          </c:dPt>
          <c:dPt>
            <c:idx val="3"/>
            <c:invertIfNegative val="0"/>
            <c:bubble3D val="0"/>
            <c:spPr>
              <a:solidFill>
                <a:srgbClr val="196B24"/>
              </a:solidFill>
              <a:ln>
                <a:noFill/>
              </a:ln>
              <a:effectLst/>
            </c:spPr>
            <c:extLst>
              <c:ext xmlns:c16="http://schemas.microsoft.com/office/drawing/2014/chart" uri="{C3380CC4-5D6E-409C-BE32-E72D297353CC}">
                <c16:uniqueId val="{00000001-FB37-4A76-B27E-85B7E8DB619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Time Series'!$G$1:$J$1</c:f>
              <c:strCache>
                <c:ptCount val="4"/>
                <c:pt idx="0">
                  <c:v>Core GDP Updated</c:v>
                </c:pt>
                <c:pt idx="1">
                  <c:v>Net Exports</c:v>
                </c:pt>
                <c:pt idx="2">
                  <c:v>Private Inventories</c:v>
                </c:pt>
                <c:pt idx="3">
                  <c:v>GDP</c:v>
                </c:pt>
              </c:strCache>
            </c:strRef>
          </c:cat>
          <c:val>
            <c:numRef>
              <c:f>'Weekly Time Series'!$G$60:$J$60</c:f>
              <c:numCache>
                <c:formatCode>General</c:formatCode>
                <c:ptCount val="4"/>
                <c:pt idx="0" formatCode="0.00">
                  <c:v>2.6453359999999999</c:v>
                </c:pt>
                <c:pt idx="1">
                  <c:v>-0.23</c:v>
                </c:pt>
                <c:pt idx="2">
                  <c:v>-0.22</c:v>
                </c:pt>
                <c:pt idx="3" formatCode="0.00">
                  <c:v>2.1953359999999997</c:v>
                </c:pt>
              </c:numCache>
            </c:numRef>
          </c:val>
          <c:extLst>
            <c:ext xmlns:c16="http://schemas.microsoft.com/office/drawing/2014/chart" uri="{C3380CC4-5D6E-409C-BE32-E72D297353CC}">
              <c16:uniqueId val="{00000001-88F5-4265-8192-AC987F738483}"/>
            </c:ext>
          </c:extLst>
        </c:ser>
        <c:dLbls>
          <c:showLegendKey val="0"/>
          <c:showVal val="0"/>
          <c:showCatName val="0"/>
          <c:showSerName val="0"/>
          <c:showPercent val="0"/>
          <c:showBubbleSize val="0"/>
        </c:dLbls>
        <c:gapWidth val="100"/>
        <c:axId val="317210720"/>
        <c:axId val="317212448"/>
      </c:barChart>
      <c:catAx>
        <c:axId val="317210720"/>
        <c:scaling>
          <c:orientation val="minMax"/>
        </c:scaling>
        <c:delete val="0"/>
        <c:axPos val="b"/>
        <c:numFmt formatCode="General" sourceLinked="1"/>
        <c:majorTickMark val="none"/>
        <c:minorTickMark val="none"/>
        <c:tickLblPos val="low"/>
        <c:spPr>
          <a:noFill/>
          <a:ln w="22225" cap="flat" cmpd="sng" algn="ctr">
            <a:solidFill>
              <a:schemeClr val="tx1"/>
            </a:solidFill>
            <a:prstDash val="dash"/>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17212448"/>
        <c:crosses val="autoZero"/>
        <c:auto val="1"/>
        <c:lblAlgn val="ctr"/>
        <c:lblOffset val="100"/>
        <c:noMultiLvlLbl val="0"/>
      </c:catAx>
      <c:valAx>
        <c:axId val="317212448"/>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GDP Growth</a:t>
                </a:r>
                <a:r>
                  <a:rPr lang="en-US" sz="1200" b="1" baseline="0"/>
                  <a:t> (%)</a:t>
                </a:r>
                <a:endParaRPr lang="en-US" sz="1200" b="1"/>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17210720"/>
        <c:crosses val="autoZero"/>
        <c:crossBetween val="between"/>
      </c:valAx>
      <c:spPr>
        <a:noFill/>
        <a:ln w="12700">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Atlas Analytics: Core GDP Over Time 3/29/2026</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2481135170603676E-2"/>
          <c:y val="0.11658333333333333"/>
          <c:w val="0.88842164260717416"/>
          <c:h val="0.65531036745406834"/>
        </c:manualLayout>
      </c:layout>
      <c:lineChart>
        <c:grouping val="standard"/>
        <c:varyColors val="0"/>
        <c:ser>
          <c:idx val="0"/>
          <c:order val="0"/>
          <c:tx>
            <c:v>Core GDP</c:v>
          </c:tx>
          <c:spPr>
            <a:ln w="28575" cap="rnd">
              <a:solidFill>
                <a:srgbClr val="A02B93"/>
              </a:solidFill>
              <a:prstDash val="solid"/>
              <a:round/>
            </a:ln>
            <a:effectLst/>
          </c:spPr>
          <c:marker>
            <c:symbol val="circle"/>
            <c:size val="8"/>
            <c:spPr>
              <a:solidFill>
                <a:srgbClr val="A02B93"/>
              </a:solidFill>
              <a:ln w="9525">
                <a:solidFill>
                  <a:srgbClr val="A02B93"/>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Time Series'!$A$2:$A$60</c:f>
              <c:strCache>
                <c:ptCount val="57"/>
                <c:pt idx="0">
                  <c:v>2025 Q1</c:v>
                </c:pt>
                <c:pt idx="1">
                  <c:v>2025 Q1</c:v>
                </c:pt>
                <c:pt idx="2">
                  <c:v>2025 Q1</c:v>
                </c:pt>
                <c:pt idx="3">
                  <c:v>2025 Q1</c:v>
                </c:pt>
                <c:pt idx="4">
                  <c:v>2025 Q1</c:v>
                </c:pt>
                <c:pt idx="5">
                  <c:v>2025 Q1</c:v>
                </c:pt>
                <c:pt idx="6">
                  <c:v>2025 Q2</c:v>
                </c:pt>
                <c:pt idx="7">
                  <c:v>2025 Q2</c:v>
                </c:pt>
                <c:pt idx="8">
                  <c:v>2025 Q2</c:v>
                </c:pt>
                <c:pt idx="9">
                  <c:v>2025 Q2</c:v>
                </c:pt>
                <c:pt idx="10">
                  <c:v>2025 Q2</c:v>
                </c:pt>
                <c:pt idx="11">
                  <c:v>2025 Q2</c:v>
                </c:pt>
                <c:pt idx="12">
                  <c:v>2025 Q2</c:v>
                </c:pt>
                <c:pt idx="13">
                  <c:v>2025 Q2</c:v>
                </c:pt>
                <c:pt idx="14">
                  <c:v>2025 Q2</c:v>
                </c:pt>
                <c:pt idx="15">
                  <c:v>2025 Q2</c:v>
                </c:pt>
                <c:pt idx="16">
                  <c:v>2025 Q2</c:v>
                </c:pt>
                <c:pt idx="17">
                  <c:v>2025 Q2</c:v>
                </c:pt>
                <c:pt idx="18">
                  <c:v>2025 Q2</c:v>
                </c:pt>
                <c:pt idx="19">
                  <c:v>2025 Q2</c:v>
                </c:pt>
                <c:pt idx="20">
                  <c:v>2025 Q2</c:v>
                </c:pt>
                <c:pt idx="21">
                  <c:v>2025 Q2</c:v>
                </c:pt>
                <c:pt idx="22">
                  <c:v>2025 Q3</c:v>
                </c:pt>
                <c:pt idx="23">
                  <c:v>2025 Q3</c:v>
                </c:pt>
                <c:pt idx="24">
                  <c:v>2025 Q3</c:v>
                </c:pt>
                <c:pt idx="25">
                  <c:v>2025 Q3</c:v>
                </c:pt>
                <c:pt idx="26">
                  <c:v>2025 Q3</c:v>
                </c:pt>
                <c:pt idx="27">
                  <c:v>2025 Q3</c:v>
                </c:pt>
                <c:pt idx="28">
                  <c:v>2025 Q3</c:v>
                </c:pt>
                <c:pt idx="29">
                  <c:v>2025 Q3</c:v>
                </c:pt>
                <c:pt idx="30">
                  <c:v>2025 Q3</c:v>
                </c:pt>
                <c:pt idx="31">
                  <c:v>2025 Q3</c:v>
                </c:pt>
                <c:pt idx="32">
                  <c:v>2025 Q3</c:v>
                </c:pt>
                <c:pt idx="33">
                  <c:v>2025 Q3</c:v>
                </c:pt>
                <c:pt idx="34">
                  <c:v>2025 Q4</c:v>
                </c:pt>
                <c:pt idx="35">
                  <c:v>2025 Q4</c:v>
                </c:pt>
                <c:pt idx="36">
                  <c:v>2025 Q4</c:v>
                </c:pt>
                <c:pt idx="37">
                  <c:v>2025 Q4</c:v>
                </c:pt>
                <c:pt idx="38">
                  <c:v>2025 Q4</c:v>
                </c:pt>
                <c:pt idx="39">
                  <c:v>2025 Q4</c:v>
                </c:pt>
                <c:pt idx="40">
                  <c:v>2025 Q4</c:v>
                </c:pt>
                <c:pt idx="41">
                  <c:v>2025 Q4</c:v>
                </c:pt>
                <c:pt idx="42">
                  <c:v>2025 Q4</c:v>
                </c:pt>
                <c:pt idx="43">
                  <c:v>2025 Q4</c:v>
                </c:pt>
                <c:pt idx="44">
                  <c:v>2025 Q4</c:v>
                </c:pt>
                <c:pt idx="45">
                  <c:v>2025 Q4</c:v>
                </c:pt>
                <c:pt idx="46">
                  <c:v>2025 Q4</c:v>
                </c:pt>
                <c:pt idx="47">
                  <c:v>2025 Q4</c:v>
                </c:pt>
                <c:pt idx="48">
                  <c:v>2025 Q4</c:v>
                </c:pt>
                <c:pt idx="49">
                  <c:v>2026 Q1</c:v>
                </c:pt>
                <c:pt idx="50">
                  <c:v>2026 Q1</c:v>
                </c:pt>
                <c:pt idx="51">
                  <c:v>2026 Q1</c:v>
                </c:pt>
                <c:pt idx="52">
                  <c:v>2026 Q1</c:v>
                </c:pt>
                <c:pt idx="53">
                  <c:v>2026 Q1</c:v>
                </c:pt>
                <c:pt idx="54">
                  <c:v>2026 Q1</c:v>
                </c:pt>
                <c:pt idx="55">
                  <c:v>2026 Q1</c:v>
                </c:pt>
                <c:pt idx="56">
                  <c:v>2026 Q1</c:v>
                </c:pt>
              </c:strCache>
            </c:strRef>
          </c:cat>
          <c:val>
            <c:numRef>
              <c:f>'Weekly Time Series'!$F$2:$F$60</c:f>
              <c:numCache>
                <c:formatCode>0.00</c:formatCode>
                <c:ptCount val="57"/>
                <c:pt idx="0">
                  <c:v>3.3915591301088552</c:v>
                </c:pt>
                <c:pt idx="1">
                  <c:v>3.3915591301088552</c:v>
                </c:pt>
                <c:pt idx="2">
                  <c:v>3.3915591301088552</c:v>
                </c:pt>
                <c:pt idx="3">
                  <c:v>3.4199876319564808</c:v>
                </c:pt>
                <c:pt idx="4">
                  <c:v>3.4504549117470908</c:v>
                </c:pt>
                <c:pt idx="5">
                  <c:v>3.3802942763097135</c:v>
                </c:pt>
                <c:pt idx="6">
                  <c:v>3.1082844986822424</c:v>
                </c:pt>
                <c:pt idx="7">
                  <c:v>3.1082844986822424</c:v>
                </c:pt>
                <c:pt idx="8">
                  <c:v>3.1082844986822424</c:v>
                </c:pt>
                <c:pt idx="9">
                  <c:v>3.3259774626399015</c:v>
                </c:pt>
                <c:pt idx="10">
                  <c:v>3.3259774626399015</c:v>
                </c:pt>
                <c:pt idx="11">
                  <c:v>3.3259774626399015</c:v>
                </c:pt>
                <c:pt idx="12">
                  <c:v>3.3259774626399015</c:v>
                </c:pt>
                <c:pt idx="13">
                  <c:v>3.3259774626399015</c:v>
                </c:pt>
                <c:pt idx="14">
                  <c:v>3.3259774626399015</c:v>
                </c:pt>
                <c:pt idx="15">
                  <c:v>3.3259774626399015</c:v>
                </c:pt>
                <c:pt idx="16">
                  <c:v>3.3227848838188132</c:v>
                </c:pt>
                <c:pt idx="17">
                  <c:v>3.3227848838188132</c:v>
                </c:pt>
                <c:pt idx="18">
                  <c:v>3.4568233572748204</c:v>
                </c:pt>
                <c:pt idx="19">
                  <c:v>3.4568233572748204</c:v>
                </c:pt>
                <c:pt idx="20">
                  <c:v>3.6119489986359095</c:v>
                </c:pt>
                <c:pt idx="21">
                  <c:v>3.6119489986359095</c:v>
                </c:pt>
                <c:pt idx="22">
                  <c:v>3.3033117891925983</c:v>
                </c:pt>
                <c:pt idx="23">
                  <c:v>3.3033117891925983</c:v>
                </c:pt>
                <c:pt idx="24">
                  <c:v>3.3033117891925983</c:v>
                </c:pt>
                <c:pt idx="25">
                  <c:v>3.3033117891925983</c:v>
                </c:pt>
                <c:pt idx="26">
                  <c:v>3.3033117891925983</c:v>
                </c:pt>
                <c:pt idx="27">
                  <c:v>3.3033117891925983</c:v>
                </c:pt>
                <c:pt idx="28">
                  <c:v>3.3033117891925983</c:v>
                </c:pt>
                <c:pt idx="29">
                  <c:v>3.3033117891925983</c:v>
                </c:pt>
                <c:pt idx="30">
                  <c:v>3.162313529407907</c:v>
                </c:pt>
                <c:pt idx="31">
                  <c:v>3.1838083593907776</c:v>
                </c:pt>
                <c:pt idx="32">
                  <c:v>3.1838083593907776</c:v>
                </c:pt>
                <c:pt idx="33">
                  <c:v>3.2161237215506504</c:v>
                </c:pt>
                <c:pt idx="34">
                  <c:v>3.2504129521988405</c:v>
                </c:pt>
                <c:pt idx="35">
                  <c:v>3.2504129521988405</c:v>
                </c:pt>
                <c:pt idx="36">
                  <c:v>3.2504129521988405</c:v>
                </c:pt>
                <c:pt idx="37">
                  <c:v>3.2504129521988405</c:v>
                </c:pt>
                <c:pt idx="38">
                  <c:v>3.2504129521988405</c:v>
                </c:pt>
                <c:pt idx="39">
                  <c:v>3.2504129521988405</c:v>
                </c:pt>
                <c:pt idx="40">
                  <c:v>3.2504129521988405</c:v>
                </c:pt>
                <c:pt idx="41" formatCode="General">
                  <c:v>3.21</c:v>
                </c:pt>
                <c:pt idx="42">
                  <c:v>3.3</c:v>
                </c:pt>
                <c:pt idx="43" formatCode="General">
                  <c:v>3.26</c:v>
                </c:pt>
                <c:pt idx="44" formatCode="General">
                  <c:v>3.28</c:v>
                </c:pt>
                <c:pt idx="45">
                  <c:v>3.24</c:v>
                </c:pt>
                <c:pt idx="46">
                  <c:v>3.1</c:v>
                </c:pt>
                <c:pt idx="47">
                  <c:v>3.3246859999999998</c:v>
                </c:pt>
                <c:pt idx="48">
                  <c:v>3.2574700000000001</c:v>
                </c:pt>
                <c:pt idx="49" formatCode="General">
                  <c:v>2.81</c:v>
                </c:pt>
                <c:pt idx="50">
                  <c:v>2.9320729999999999</c:v>
                </c:pt>
                <c:pt idx="51" formatCode="General">
                  <c:v>2.78</c:v>
                </c:pt>
                <c:pt idx="52">
                  <c:v>3.1010909999999998</c:v>
                </c:pt>
                <c:pt idx="53">
                  <c:v>2.9007909999999999</c:v>
                </c:pt>
                <c:pt idx="54">
                  <c:v>3.0732970000000002</c:v>
                </c:pt>
                <c:pt idx="55">
                  <c:v>3.0723660000000002</c:v>
                </c:pt>
                <c:pt idx="56">
                  <c:v>3.0723660000000002</c:v>
                </c:pt>
              </c:numCache>
            </c:numRef>
          </c:val>
          <c:smooth val="0"/>
          <c:extLst>
            <c:ext xmlns:c16="http://schemas.microsoft.com/office/drawing/2014/chart" uri="{C3380CC4-5D6E-409C-BE32-E72D297353CC}">
              <c16:uniqueId val="{00000000-D270-4622-AAC3-42952DF750C3}"/>
            </c:ext>
          </c:extLst>
        </c:ser>
        <c:ser>
          <c:idx val="1"/>
          <c:order val="1"/>
          <c:tx>
            <c:v>Core GDP Updated</c:v>
          </c:tx>
          <c:spPr>
            <a:ln w="28575" cap="rnd">
              <a:solidFill>
                <a:srgbClr val="E97132"/>
              </a:solidFill>
              <a:prstDash val="solid"/>
              <a:round/>
            </a:ln>
            <a:effectLst/>
          </c:spPr>
          <c:marker>
            <c:symbol val="circle"/>
            <c:size val="5"/>
            <c:spPr>
              <a:solidFill>
                <a:srgbClr val="E97132"/>
              </a:solidFill>
              <a:ln w="9525">
                <a:solidFill>
                  <a:srgbClr val="E97132"/>
                </a:solidFill>
                <a:prstDash val="soli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Time Series'!$A$2:$A$60</c:f>
              <c:strCache>
                <c:ptCount val="57"/>
                <c:pt idx="0">
                  <c:v>2025 Q1</c:v>
                </c:pt>
                <c:pt idx="1">
                  <c:v>2025 Q1</c:v>
                </c:pt>
                <c:pt idx="2">
                  <c:v>2025 Q1</c:v>
                </c:pt>
                <c:pt idx="3">
                  <c:v>2025 Q1</c:v>
                </c:pt>
                <c:pt idx="4">
                  <c:v>2025 Q1</c:v>
                </c:pt>
                <c:pt idx="5">
                  <c:v>2025 Q1</c:v>
                </c:pt>
                <c:pt idx="6">
                  <c:v>2025 Q2</c:v>
                </c:pt>
                <c:pt idx="7">
                  <c:v>2025 Q2</c:v>
                </c:pt>
                <c:pt idx="8">
                  <c:v>2025 Q2</c:v>
                </c:pt>
                <c:pt idx="9">
                  <c:v>2025 Q2</c:v>
                </c:pt>
                <c:pt idx="10">
                  <c:v>2025 Q2</c:v>
                </c:pt>
                <c:pt idx="11">
                  <c:v>2025 Q2</c:v>
                </c:pt>
                <c:pt idx="12">
                  <c:v>2025 Q2</c:v>
                </c:pt>
                <c:pt idx="13">
                  <c:v>2025 Q2</c:v>
                </c:pt>
                <c:pt idx="14">
                  <c:v>2025 Q2</c:v>
                </c:pt>
                <c:pt idx="15">
                  <c:v>2025 Q2</c:v>
                </c:pt>
                <c:pt idx="16">
                  <c:v>2025 Q2</c:v>
                </c:pt>
                <c:pt idx="17">
                  <c:v>2025 Q2</c:v>
                </c:pt>
                <c:pt idx="18">
                  <c:v>2025 Q2</c:v>
                </c:pt>
                <c:pt idx="19">
                  <c:v>2025 Q2</c:v>
                </c:pt>
                <c:pt idx="20">
                  <c:v>2025 Q2</c:v>
                </c:pt>
                <c:pt idx="21">
                  <c:v>2025 Q2</c:v>
                </c:pt>
                <c:pt idx="22">
                  <c:v>2025 Q3</c:v>
                </c:pt>
                <c:pt idx="23">
                  <c:v>2025 Q3</c:v>
                </c:pt>
                <c:pt idx="24">
                  <c:v>2025 Q3</c:v>
                </c:pt>
                <c:pt idx="25">
                  <c:v>2025 Q3</c:v>
                </c:pt>
                <c:pt idx="26">
                  <c:v>2025 Q3</c:v>
                </c:pt>
                <c:pt idx="27">
                  <c:v>2025 Q3</c:v>
                </c:pt>
                <c:pt idx="28">
                  <c:v>2025 Q3</c:v>
                </c:pt>
                <c:pt idx="29">
                  <c:v>2025 Q3</c:v>
                </c:pt>
                <c:pt idx="30">
                  <c:v>2025 Q3</c:v>
                </c:pt>
                <c:pt idx="31">
                  <c:v>2025 Q3</c:v>
                </c:pt>
                <c:pt idx="32">
                  <c:v>2025 Q3</c:v>
                </c:pt>
                <c:pt idx="33">
                  <c:v>2025 Q3</c:v>
                </c:pt>
                <c:pt idx="34">
                  <c:v>2025 Q4</c:v>
                </c:pt>
                <c:pt idx="35">
                  <c:v>2025 Q4</c:v>
                </c:pt>
                <c:pt idx="36">
                  <c:v>2025 Q4</c:v>
                </c:pt>
                <c:pt idx="37">
                  <c:v>2025 Q4</c:v>
                </c:pt>
                <c:pt idx="38">
                  <c:v>2025 Q4</c:v>
                </c:pt>
                <c:pt idx="39">
                  <c:v>2025 Q4</c:v>
                </c:pt>
                <c:pt idx="40">
                  <c:v>2025 Q4</c:v>
                </c:pt>
                <c:pt idx="41">
                  <c:v>2025 Q4</c:v>
                </c:pt>
                <c:pt idx="42">
                  <c:v>2025 Q4</c:v>
                </c:pt>
                <c:pt idx="43">
                  <c:v>2025 Q4</c:v>
                </c:pt>
                <c:pt idx="44">
                  <c:v>2025 Q4</c:v>
                </c:pt>
                <c:pt idx="45">
                  <c:v>2025 Q4</c:v>
                </c:pt>
                <c:pt idx="46">
                  <c:v>2025 Q4</c:v>
                </c:pt>
                <c:pt idx="47">
                  <c:v>2025 Q4</c:v>
                </c:pt>
                <c:pt idx="48">
                  <c:v>2025 Q4</c:v>
                </c:pt>
                <c:pt idx="49">
                  <c:v>2026 Q1</c:v>
                </c:pt>
                <c:pt idx="50">
                  <c:v>2026 Q1</c:v>
                </c:pt>
                <c:pt idx="51">
                  <c:v>2026 Q1</c:v>
                </c:pt>
                <c:pt idx="52">
                  <c:v>2026 Q1</c:v>
                </c:pt>
                <c:pt idx="53">
                  <c:v>2026 Q1</c:v>
                </c:pt>
                <c:pt idx="54">
                  <c:v>2026 Q1</c:v>
                </c:pt>
                <c:pt idx="55">
                  <c:v>2026 Q1</c:v>
                </c:pt>
                <c:pt idx="56">
                  <c:v>2026 Q1</c:v>
                </c:pt>
              </c:strCache>
            </c:strRef>
          </c:cat>
          <c:val>
            <c:numRef>
              <c:f>'Weekly Time Series'!$G$2:$G$60</c:f>
              <c:numCache>
                <c:formatCode>General</c:formatCode>
                <c:ptCount val="57"/>
                <c:pt idx="48" formatCode="0.00">
                  <c:v>2.350606</c:v>
                </c:pt>
                <c:pt idx="49">
                  <c:v>2.62</c:v>
                </c:pt>
                <c:pt idx="50" formatCode="0.00">
                  <c:v>2.6169889999999998</c:v>
                </c:pt>
                <c:pt idx="51">
                  <c:v>2.59</c:v>
                </c:pt>
                <c:pt idx="52" formatCode="0.00">
                  <c:v>2.7382559999999998</c:v>
                </c:pt>
                <c:pt idx="53" formatCode="0.00">
                  <c:v>2.6615419999999999</c:v>
                </c:pt>
                <c:pt idx="54" formatCode="0.00">
                  <c:v>2.6661440000000001</c:v>
                </c:pt>
                <c:pt idx="55" formatCode="0.00">
                  <c:v>2.6453359999999999</c:v>
                </c:pt>
                <c:pt idx="56" formatCode="0.00">
                  <c:v>2.6453359999999999</c:v>
                </c:pt>
              </c:numCache>
            </c:numRef>
          </c:val>
          <c:smooth val="0"/>
          <c:extLst>
            <c:ext xmlns:c16="http://schemas.microsoft.com/office/drawing/2014/chart" uri="{C3380CC4-5D6E-409C-BE32-E72D297353CC}">
              <c16:uniqueId val="{00000001-D270-4622-AAC3-42952DF750C3}"/>
            </c:ext>
          </c:extLst>
        </c:ser>
        <c:dLbls>
          <c:dLblPos val="t"/>
          <c:showLegendKey val="0"/>
          <c:showVal val="1"/>
          <c:showCatName val="0"/>
          <c:showSerName val="0"/>
          <c:showPercent val="0"/>
          <c:showBubbleSize val="0"/>
        </c:dLbls>
        <c:marker val="1"/>
        <c:smooth val="0"/>
        <c:axId val="584139983"/>
        <c:axId val="584141711"/>
      </c:lineChart>
      <c:catAx>
        <c:axId val="584139983"/>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84141711"/>
        <c:crosses val="autoZero"/>
        <c:auto val="1"/>
        <c:lblAlgn val="ctr"/>
        <c:lblOffset val="100"/>
        <c:noMultiLvlLbl val="0"/>
      </c:catAx>
      <c:valAx>
        <c:axId val="584141711"/>
        <c:scaling>
          <c:orientation val="minMax"/>
          <c:min val="2"/>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i="0" u="none" strike="noStrike" kern="1200" baseline="0">
                    <a:solidFill>
                      <a:sysClr val="windowText" lastClr="000000">
                        <a:lumMod val="65000"/>
                        <a:lumOff val="35000"/>
                      </a:sysClr>
                    </a:solidFill>
                  </a:rPr>
                  <a:t>GDP Growth (%)</a:t>
                </a:r>
              </a:p>
            </c:rich>
          </c:tx>
          <c:layout>
            <c:manualLayout>
              <c:xMode val="edge"/>
              <c:yMode val="edge"/>
              <c:x val="0"/>
              <c:y val="0.29608573928258969"/>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84139983"/>
        <c:crosses val="autoZero"/>
        <c:crossBetween val="between"/>
      </c:valAx>
      <c:spPr>
        <a:noFill/>
        <a:ln w="12700">
          <a:solidFill>
            <a:schemeClr val="tx1"/>
          </a:solid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29</xdr:row>
      <xdr:rowOff>0</xdr:rowOff>
    </xdr:from>
    <xdr:to>
      <xdr:col>0</xdr:col>
      <xdr:colOff>304800</xdr:colOff>
      <xdr:row>30</xdr:row>
      <xdr:rowOff>114301</xdr:rowOff>
    </xdr:to>
    <xdr:sp macro="" textlink="">
      <xdr:nvSpPr>
        <xdr:cNvPr id="3" name="AutoShape 1">
          <a:extLst>
            <a:ext uri="{FF2B5EF4-FFF2-40B4-BE49-F238E27FC236}">
              <a16:creationId xmlns:a16="http://schemas.microsoft.com/office/drawing/2014/main" id="{90BA9681-CAFF-AB47-8C18-AB1C8FA2915A}"/>
            </a:ext>
          </a:extLst>
        </xdr:cNvPr>
        <xdr:cNvSpPr>
          <a:spLocks noChangeAspect="1" noChangeArrowheads="1"/>
        </xdr:cNvSpPr>
      </xdr:nvSpPr>
      <xdr:spPr bwMode="auto">
        <a:xfrm>
          <a:off x="0" y="386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314325</xdr:colOff>
      <xdr:row>3</xdr:row>
      <xdr:rowOff>19050</xdr:rowOff>
    </xdr:from>
    <xdr:to>
      <xdr:col>15</xdr:col>
      <xdr:colOff>676275</xdr:colOff>
      <xdr:row>28</xdr:row>
      <xdr:rowOff>57150</xdr:rowOff>
    </xdr:to>
    <xdr:pic>
      <xdr:nvPicPr>
        <xdr:cNvPr id="2" name="Picture 1">
          <a:extLst>
            <a:ext uri="{FF2B5EF4-FFF2-40B4-BE49-F238E27FC236}">
              <a16:creationId xmlns:a16="http://schemas.microsoft.com/office/drawing/2014/main" id="{5DF904C4-AF62-9D0F-F58D-7150B6BE9396}"/>
            </a:ext>
          </a:extLst>
        </xdr:cNvPr>
        <xdr:cNvPicPr>
          <a:picLocks noChangeAspect="1"/>
        </xdr:cNvPicPr>
      </xdr:nvPicPr>
      <xdr:blipFill>
        <a:blip xmlns:r="http://schemas.openxmlformats.org/officeDocument/2006/relationships" r:embed="rId1"/>
        <a:stretch>
          <a:fillRect/>
        </a:stretch>
      </xdr:blipFill>
      <xdr:spPr>
        <a:xfrm>
          <a:off x="7572375" y="790575"/>
          <a:ext cx="7905750" cy="4800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56242</xdr:colOff>
      <xdr:row>26</xdr:row>
      <xdr:rowOff>125729</xdr:rowOff>
    </xdr:from>
    <xdr:to>
      <xdr:col>19</xdr:col>
      <xdr:colOff>658585</xdr:colOff>
      <xdr:row>49</xdr:row>
      <xdr:rowOff>18777</xdr:rowOff>
    </xdr:to>
    <xdr:graphicFrame macro="">
      <xdr:nvGraphicFramePr>
        <xdr:cNvPr id="2" name="Chart 1">
          <a:extLst>
            <a:ext uri="{FF2B5EF4-FFF2-40B4-BE49-F238E27FC236}">
              <a16:creationId xmlns:a16="http://schemas.microsoft.com/office/drawing/2014/main" id="{0176427B-AC18-4D4A-BB5E-1FD505C78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48895</xdr:colOff>
      <xdr:row>1</xdr:row>
      <xdr:rowOff>197848</xdr:rowOff>
    </xdr:from>
    <xdr:to>
      <xdr:col>19</xdr:col>
      <xdr:colOff>651238</xdr:colOff>
      <xdr:row>26</xdr:row>
      <xdr:rowOff>88991</xdr:rowOff>
    </xdr:to>
    <xdr:graphicFrame macro="">
      <xdr:nvGraphicFramePr>
        <xdr:cNvPr id="4" name="Chart 3">
          <a:extLst>
            <a:ext uri="{FF2B5EF4-FFF2-40B4-BE49-F238E27FC236}">
              <a16:creationId xmlns:a16="http://schemas.microsoft.com/office/drawing/2014/main" id="{FB3950D9-3625-44C8-92D3-821A3A050248}"/>
            </a:ext>
            <a:ext uri="{147F2762-F138-4A5C-976F-8EAC2B608ADB}">
              <a16:predDERef xmlns:a16="http://schemas.microsoft.com/office/drawing/2014/main" pred="{0176427B-AC18-4D4A-BB5E-1FD505C78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57150</xdr:colOff>
      <xdr:row>49</xdr:row>
      <xdr:rowOff>57150</xdr:rowOff>
    </xdr:from>
    <xdr:to>
      <xdr:col>19</xdr:col>
      <xdr:colOff>659493</xdr:colOff>
      <xdr:row>71</xdr:row>
      <xdr:rowOff>140698</xdr:rowOff>
    </xdr:to>
    <xdr:graphicFrame macro="">
      <xdr:nvGraphicFramePr>
        <xdr:cNvPr id="3" name="Chart 2">
          <a:extLst>
            <a:ext uri="{FF2B5EF4-FFF2-40B4-BE49-F238E27FC236}">
              <a16:creationId xmlns:a16="http://schemas.microsoft.com/office/drawing/2014/main" id="{BB7F7554-A68A-459C-AABA-30BCFC641727}"/>
            </a:ext>
            <a:ext uri="{147F2762-F138-4A5C-976F-8EAC2B608ADB}">
              <a16:predDERef xmlns:a16="http://schemas.microsoft.com/office/drawing/2014/main" pred="{FB3950D9-3625-44C8-92D3-821A3A050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0.00521</cdr:x>
      <cdr:y>0.90833</cdr:y>
    </cdr:from>
    <cdr:to>
      <cdr:x>0.98438</cdr:x>
      <cdr:y>0.99166</cdr:y>
    </cdr:to>
    <cdr:sp macro="" textlink="">
      <cdr:nvSpPr>
        <cdr:cNvPr id="3" name="TextBox 1">
          <a:extLst xmlns:a="http://schemas.openxmlformats.org/drawingml/2006/main">
            <a:ext uri="{FF2B5EF4-FFF2-40B4-BE49-F238E27FC236}">
              <a16:creationId xmlns:a16="http://schemas.microsoft.com/office/drawing/2014/main" id="{15E52413-FA44-C89E-A9CD-04DD076DA324}"/>
            </a:ext>
          </a:extLst>
        </cdr:cNvPr>
        <cdr:cNvSpPr txBox="1"/>
      </cdr:nvSpPr>
      <cdr:spPr>
        <a:xfrm xmlns:a="http://schemas.openxmlformats.org/drawingml/2006/main">
          <a:off x="38100" y="4152900"/>
          <a:ext cx="7162825" cy="38098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kern="1200"/>
            <a:t>Source:</a:t>
          </a:r>
          <a:r>
            <a:rPr lang="en-US" sz="900" kern="1200" baseline="0"/>
            <a:t> BEA,  FRED, USGS, NASA, Yahoo Finance, Atlas Analytics</a:t>
          </a:r>
        </a:p>
        <a:p xmlns:a="http://schemas.openxmlformats.org/drawingml/2006/main">
          <a:r>
            <a:rPr lang="en-US" sz="900" kern="1200" baseline="0"/>
            <a:t>Note: Core GDP defined as Private Consumption, Government Expenditures and Private Fixed Investment.</a:t>
          </a:r>
          <a:endParaRPr lang="en-US" sz="900" kern="1200"/>
        </a:p>
      </cdr:txBody>
    </cdr:sp>
  </cdr:relSizeAnchor>
</c:userShapes>
</file>

<file path=xl/drawings/drawing5.xml><?xml version="1.0" encoding="utf-8"?>
<c:userShapes xmlns:c="http://schemas.openxmlformats.org/drawingml/2006/chart">
  <cdr:relSizeAnchor xmlns:cdr="http://schemas.openxmlformats.org/drawingml/2006/chartDrawing">
    <cdr:from>
      <cdr:x>0.7717</cdr:x>
      <cdr:y>0.11667</cdr:y>
    </cdr:from>
    <cdr:to>
      <cdr:x>0.77214</cdr:x>
      <cdr:y>0.81806</cdr:y>
    </cdr:to>
    <cdr:cxnSp macro="">
      <cdr:nvCxnSpPr>
        <cdr:cNvPr id="4" name="Straight Connector 3">
          <a:extLst xmlns:a="http://schemas.openxmlformats.org/drawingml/2006/main">
            <a:ext uri="{FF2B5EF4-FFF2-40B4-BE49-F238E27FC236}">
              <a16:creationId xmlns:a16="http://schemas.microsoft.com/office/drawing/2014/main" id="{3E6A76B9-6D72-0270-2B86-FC1F29D9133B}"/>
            </a:ext>
          </a:extLst>
        </cdr:cNvPr>
        <cdr:cNvCxnSpPr/>
      </cdr:nvCxnSpPr>
      <cdr:spPr>
        <a:xfrm xmlns:a="http://schemas.openxmlformats.org/drawingml/2006/main">
          <a:off x="5645140" y="533415"/>
          <a:ext cx="3185" cy="3206735"/>
        </a:xfrm>
        <a:prstGeom xmlns:a="http://schemas.openxmlformats.org/drawingml/2006/main" prst="line">
          <a:avLst/>
        </a:prstGeom>
        <a:ln xmlns:a="http://schemas.openxmlformats.org/drawingml/2006/main">
          <a:solidFill>
            <a:schemeClr val="tx1"/>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0.00694</cdr:x>
      <cdr:y>0.89722</cdr:y>
    </cdr:from>
    <cdr:to>
      <cdr:x>0.98611</cdr:x>
      <cdr:y>0.98055</cdr:y>
    </cdr:to>
    <cdr:sp macro="" textlink="">
      <cdr:nvSpPr>
        <cdr:cNvPr id="5" name="TextBox 1">
          <a:extLst xmlns:a="http://schemas.openxmlformats.org/drawingml/2006/main">
            <a:ext uri="{FF2B5EF4-FFF2-40B4-BE49-F238E27FC236}">
              <a16:creationId xmlns:a16="http://schemas.microsoft.com/office/drawing/2014/main" id="{040AC64C-18E3-7406-19FD-23F6AD345965}"/>
            </a:ext>
          </a:extLst>
        </cdr:cNvPr>
        <cdr:cNvSpPr txBox="1"/>
      </cdr:nvSpPr>
      <cdr:spPr>
        <a:xfrm xmlns:a="http://schemas.openxmlformats.org/drawingml/2006/main">
          <a:off x="50800" y="4102100"/>
          <a:ext cx="7162825" cy="38098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kern="1200"/>
            <a:t>Source:</a:t>
          </a:r>
          <a:r>
            <a:rPr lang="en-US" sz="900" kern="1200" baseline="0"/>
            <a:t> BEA,  FRED, USGS, NASA, Yahoo Finance, Atlas Analytics</a:t>
          </a:r>
        </a:p>
        <a:p xmlns:a="http://schemas.openxmlformats.org/drawingml/2006/main">
          <a:r>
            <a:rPr lang="en-US" sz="900" kern="1200" baseline="0"/>
            <a:t>Note: Core GDP defined as Private Consumption, Government Expenditures and Private Fixed Investment.</a:t>
          </a:r>
          <a:endParaRPr lang="en-US" sz="900" kern="1200"/>
        </a:p>
      </cdr:txBody>
    </cdr:sp>
  </cdr:relSizeAnchor>
</c:userShapes>
</file>

<file path=xl/drawings/drawing6.xml><?xml version="1.0" encoding="utf-8"?>
<c:userShapes xmlns:c="http://schemas.openxmlformats.org/drawingml/2006/chart">
  <cdr:relSizeAnchor xmlns:cdr="http://schemas.openxmlformats.org/drawingml/2006/chartDrawing">
    <cdr:from>
      <cdr:x>0.00347</cdr:x>
      <cdr:y>0.91111</cdr:y>
    </cdr:from>
    <cdr:to>
      <cdr:x>0.98264</cdr:x>
      <cdr:y>0.99444</cdr:y>
    </cdr:to>
    <cdr:sp macro="" textlink="">
      <cdr:nvSpPr>
        <cdr:cNvPr id="3" name="TextBox 1">
          <a:extLst xmlns:a="http://schemas.openxmlformats.org/drawingml/2006/main">
            <a:ext uri="{FF2B5EF4-FFF2-40B4-BE49-F238E27FC236}">
              <a16:creationId xmlns:a16="http://schemas.microsoft.com/office/drawing/2014/main" id="{15E52413-FA44-C89E-A9CD-04DD076DA324}"/>
            </a:ext>
          </a:extLst>
        </cdr:cNvPr>
        <cdr:cNvSpPr txBox="1"/>
      </cdr:nvSpPr>
      <cdr:spPr>
        <a:xfrm xmlns:a="http://schemas.openxmlformats.org/drawingml/2006/main">
          <a:off x="25400" y="4165600"/>
          <a:ext cx="7162825" cy="38098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900" kern="1200"/>
            <a:t>Source:</a:t>
          </a:r>
          <a:r>
            <a:rPr lang="en-US" sz="900" kern="1200" baseline="0"/>
            <a:t> BEA,  FRED, USGS, NASA, Yahoo Finance, Atlas Analytics</a:t>
          </a:r>
        </a:p>
        <a:p xmlns:a="http://schemas.openxmlformats.org/drawingml/2006/main">
          <a:r>
            <a:rPr lang="en-US" sz="900" kern="1200" baseline="0"/>
            <a:t>Note: Core GDP defined as Private Consumption, Government Expenditures and Private Fixed Investment.</a:t>
          </a:r>
          <a:endParaRPr lang="en-US" sz="900" kern="120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0C4A9-77CC-5D46-B39F-14B678B5EC4C}">
  <sheetPr>
    <tabColor theme="1"/>
  </sheetPr>
  <dimension ref="A1:C34"/>
  <sheetViews>
    <sheetView showGridLines="0" tabSelected="1" zoomScale="130" zoomScaleNormal="130" workbookViewId="0">
      <selection activeCell="B2" sqref="B2:C2"/>
    </sheetView>
  </sheetViews>
  <sheetFormatPr defaultColWidth="8.875" defaultRowHeight="14.45"/>
  <cols>
    <col min="1" max="1" width="32.875" style="16" bestFit="1" customWidth="1"/>
    <col min="2" max="2" width="60" style="16" bestFit="1" customWidth="1"/>
    <col min="3" max="3" width="15.625" style="16" customWidth="1"/>
    <col min="4" max="16384" width="8.875" style="16"/>
  </cols>
  <sheetData>
    <row r="1" spans="1:3" ht="15" thickBot="1"/>
    <row r="2" spans="1:3" ht="15" thickBot="1">
      <c r="A2" s="27" t="s">
        <v>0</v>
      </c>
      <c r="B2" s="63">
        <v>46111</v>
      </c>
      <c r="C2" s="63"/>
    </row>
    <row r="3" spans="1:3" ht="15" thickBot="1">
      <c r="A3" s="27" t="s">
        <v>1</v>
      </c>
      <c r="B3" s="64" t="s">
        <v>2</v>
      </c>
      <c r="C3" s="64"/>
    </row>
    <row r="4" spans="1:3" ht="15" thickBot="1">
      <c r="A4" s="27" t="s">
        <v>3</v>
      </c>
      <c r="B4" s="65" t="s">
        <v>4</v>
      </c>
      <c r="C4" s="65"/>
    </row>
    <row r="5" spans="1:3" ht="15" thickBot="1"/>
    <row r="6" spans="1:3" ht="17.100000000000001" customHeight="1" thickBot="1">
      <c r="A6" s="66" t="s">
        <v>5</v>
      </c>
      <c r="B6" s="67"/>
      <c r="C6" s="68"/>
    </row>
    <row r="7" spans="1:3" ht="15.75" customHeight="1" thickBot="1">
      <c r="A7" s="58" t="s">
        <v>6</v>
      </c>
      <c r="B7" s="59"/>
      <c r="C7" s="60"/>
    </row>
    <row r="8" spans="1:3" ht="15.75" customHeight="1">
      <c r="A8" s="58"/>
      <c r="B8" s="59"/>
      <c r="C8" s="60"/>
    </row>
    <row r="9" spans="1:3" ht="15.95" customHeight="1" thickBot="1">
      <c r="A9" s="61"/>
      <c r="B9" s="59"/>
      <c r="C9" s="60"/>
    </row>
    <row r="10" spans="1:3" ht="15.95" customHeight="1" thickBot="1">
      <c r="A10" s="61"/>
      <c r="B10" s="59"/>
      <c r="C10" s="60"/>
    </row>
    <row r="11" spans="1:3" ht="15.95" customHeight="1" thickBot="1">
      <c r="A11" s="61"/>
      <c r="B11" s="59"/>
      <c r="C11" s="60"/>
    </row>
    <row r="12" spans="1:3" ht="15.95" customHeight="1" thickBot="1">
      <c r="A12" s="61"/>
      <c r="B12" s="59"/>
      <c r="C12" s="60"/>
    </row>
    <row r="13" spans="1:3" ht="15.95" customHeight="1" thickBot="1">
      <c r="A13" s="61"/>
      <c r="B13" s="59"/>
      <c r="C13" s="60"/>
    </row>
    <row r="14" spans="1:3" ht="15.95" customHeight="1" thickBot="1">
      <c r="A14" s="61"/>
      <c r="B14" s="59"/>
      <c r="C14" s="60"/>
    </row>
    <row r="15" spans="1:3" ht="15.95" customHeight="1" thickBot="1">
      <c r="A15" s="61"/>
      <c r="B15" s="59"/>
      <c r="C15" s="60"/>
    </row>
    <row r="16" spans="1:3" ht="15.95" customHeight="1" thickBot="1">
      <c r="A16" s="61"/>
      <c r="B16" s="59"/>
      <c r="C16" s="60"/>
    </row>
    <row r="17" spans="1:3" ht="15.95" customHeight="1" thickBot="1">
      <c r="A17" s="61"/>
      <c r="B17" s="59"/>
      <c r="C17" s="60"/>
    </row>
    <row r="18" spans="1:3" ht="15.95" customHeight="1" thickBot="1">
      <c r="A18" s="61"/>
      <c r="B18" s="59"/>
      <c r="C18" s="60"/>
    </row>
    <row r="19" spans="1:3" ht="15.95" customHeight="1" thickBot="1">
      <c r="A19" s="61"/>
      <c r="B19" s="59"/>
      <c r="C19" s="60"/>
    </row>
    <row r="20" spans="1:3" ht="15" thickBot="1"/>
    <row r="21" spans="1:3" ht="15" thickBot="1">
      <c r="A21" s="17" t="s">
        <v>7</v>
      </c>
      <c r="B21" s="18" t="s">
        <v>8</v>
      </c>
      <c r="C21" s="19" t="s">
        <v>9</v>
      </c>
    </row>
    <row r="22" spans="1:3">
      <c r="A22" s="20" t="s">
        <v>10</v>
      </c>
      <c r="B22" s="21" t="s">
        <v>11</v>
      </c>
      <c r="C22" s="24" t="s">
        <v>10</v>
      </c>
    </row>
    <row r="23" spans="1:3">
      <c r="A23" s="22" t="s">
        <v>12</v>
      </c>
      <c r="B23" s="38" t="s">
        <v>13</v>
      </c>
      <c r="C23" s="42" t="s">
        <v>14</v>
      </c>
    </row>
    <row r="24" spans="1:3">
      <c r="A24" s="22" t="s">
        <v>15</v>
      </c>
      <c r="B24" s="38" t="s">
        <v>16</v>
      </c>
      <c r="C24" s="25" t="s">
        <v>14</v>
      </c>
    </row>
    <row r="25" spans="1:3">
      <c r="A25" s="22" t="s">
        <v>17</v>
      </c>
      <c r="B25" s="38" t="s">
        <v>18</v>
      </c>
      <c r="C25" s="51" t="s">
        <v>14</v>
      </c>
    </row>
    <row r="26" spans="1:3">
      <c r="A26" s="22" t="s">
        <v>19</v>
      </c>
      <c r="B26" s="38" t="s">
        <v>20</v>
      </c>
      <c r="C26" s="26" t="s">
        <v>14</v>
      </c>
    </row>
    <row r="27" spans="1:3">
      <c r="A27" s="22" t="s">
        <v>21</v>
      </c>
      <c r="B27" s="38" t="s">
        <v>22</v>
      </c>
      <c r="C27" s="23" t="s">
        <v>14</v>
      </c>
    </row>
    <row r="30" spans="1:3">
      <c r="A30" s="62" t="s">
        <v>23</v>
      </c>
      <c r="B30" s="62"/>
      <c r="C30" s="62"/>
    </row>
    <row r="31" spans="1:3">
      <c r="A31" s="62"/>
      <c r="B31" s="62"/>
      <c r="C31" s="62"/>
    </row>
    <row r="32" spans="1:3" ht="15" customHeight="1">
      <c r="A32" s="62"/>
      <c r="B32" s="62"/>
      <c r="C32" s="62"/>
    </row>
    <row r="33" spans="1:3">
      <c r="A33" s="62"/>
      <c r="B33" s="62"/>
      <c r="C33" s="62"/>
    </row>
    <row r="34" spans="1:3">
      <c r="A34" s="62"/>
      <c r="B34" s="62"/>
      <c r="C34" s="62"/>
    </row>
  </sheetData>
  <mergeCells count="6">
    <mergeCell ref="A7:C19"/>
    <mergeCell ref="A30:C34"/>
    <mergeCell ref="B2:C2"/>
    <mergeCell ref="B3:C3"/>
    <mergeCell ref="B4:C4"/>
    <mergeCell ref="A6:C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96428-017D-564E-B3CA-51996D25DA48}">
  <sheetPr>
    <tabColor rgb="FF7030A0"/>
  </sheetPr>
  <dimension ref="A1:R107"/>
  <sheetViews>
    <sheetView showGridLines="0" zoomScale="73" zoomScaleNormal="73" workbookViewId="0">
      <pane xSplit="4" ySplit="1" topLeftCell="E2" activePane="bottomRight" state="frozen"/>
      <selection pane="bottomRight" sqref="A1:F1"/>
      <selection pane="bottomLeft" activeCell="F57" sqref="F57"/>
      <selection pane="topRight" activeCell="F57" sqref="F57"/>
    </sheetView>
  </sheetViews>
  <sheetFormatPr defaultColWidth="11" defaultRowHeight="15.6"/>
  <cols>
    <col min="1" max="6" width="15.875" customWidth="1"/>
  </cols>
  <sheetData>
    <row r="1" spans="1:6" s="2" customFormat="1" ht="31.15">
      <c r="A1" s="1" t="s">
        <v>0</v>
      </c>
      <c r="B1" s="1" t="s">
        <v>24</v>
      </c>
      <c r="C1" s="1" t="s">
        <v>25</v>
      </c>
      <c r="D1" s="1" t="s">
        <v>26</v>
      </c>
      <c r="E1" s="1" t="s">
        <v>27</v>
      </c>
      <c r="F1" s="1" t="s">
        <v>28</v>
      </c>
    </row>
    <row r="2" spans="1:6">
      <c r="A2" s="3">
        <v>36526</v>
      </c>
      <c r="B2" s="4">
        <v>2000</v>
      </c>
      <c r="C2" s="4">
        <v>1</v>
      </c>
      <c r="D2" s="4" t="s">
        <v>29</v>
      </c>
      <c r="E2" s="5">
        <v>1.45909E-2</v>
      </c>
    </row>
    <row r="3" spans="1:6">
      <c r="A3" s="3">
        <v>36617</v>
      </c>
      <c r="B3" s="4">
        <v>2000</v>
      </c>
      <c r="C3" s="4">
        <v>2</v>
      </c>
      <c r="D3" s="4" t="s">
        <v>30</v>
      </c>
      <c r="E3" s="5">
        <v>7.4866000000000002E-2</v>
      </c>
    </row>
    <row r="4" spans="1:6">
      <c r="A4" s="3">
        <v>36708</v>
      </c>
      <c r="B4" s="4">
        <v>2000</v>
      </c>
      <c r="C4" s="4">
        <v>3</v>
      </c>
      <c r="D4" s="4" t="s">
        <v>31</v>
      </c>
      <c r="E4" s="5">
        <v>4.0835000000000003E-3</v>
      </c>
    </row>
    <row r="5" spans="1:6">
      <c r="A5" s="3">
        <v>36800</v>
      </c>
      <c r="B5" s="4">
        <v>2000</v>
      </c>
      <c r="C5" s="4">
        <v>4</v>
      </c>
      <c r="D5" s="4" t="s">
        <v>32</v>
      </c>
      <c r="E5" s="5">
        <v>2.4096300000000001E-2</v>
      </c>
    </row>
    <row r="6" spans="1:6">
      <c r="A6" s="3">
        <v>36892</v>
      </c>
      <c r="B6" s="4">
        <v>2001</v>
      </c>
      <c r="C6" s="4">
        <v>1</v>
      </c>
      <c r="D6" s="4" t="s">
        <v>33</v>
      </c>
      <c r="E6" s="5">
        <v>-1.3047599999999999E-2</v>
      </c>
    </row>
    <row r="7" spans="1:6">
      <c r="A7" s="3">
        <v>36982</v>
      </c>
      <c r="B7" s="4">
        <v>2001</v>
      </c>
      <c r="C7" s="4">
        <v>2</v>
      </c>
      <c r="D7" s="4" t="s">
        <v>34</v>
      </c>
      <c r="E7" s="5">
        <v>2.5215100000000001E-2</v>
      </c>
    </row>
    <row r="8" spans="1:6">
      <c r="A8" s="3">
        <v>37073</v>
      </c>
      <c r="B8" s="4">
        <v>2001</v>
      </c>
      <c r="C8" s="4">
        <v>3</v>
      </c>
      <c r="D8" s="4" t="s">
        <v>35</v>
      </c>
      <c r="E8" s="5">
        <v>-1.5929499999999999E-2</v>
      </c>
    </row>
    <row r="9" spans="1:6">
      <c r="A9" s="3">
        <v>37165</v>
      </c>
      <c r="B9" s="4">
        <v>2001</v>
      </c>
      <c r="C9" s="4">
        <v>4</v>
      </c>
      <c r="D9" s="4" t="s">
        <v>36</v>
      </c>
      <c r="E9" s="5">
        <v>1.10364E-2</v>
      </c>
    </row>
    <row r="10" spans="1:6">
      <c r="A10" s="3">
        <v>37257</v>
      </c>
      <c r="B10" s="4">
        <v>2002</v>
      </c>
      <c r="C10" s="4">
        <v>1</v>
      </c>
      <c r="D10" s="4" t="s">
        <v>37</v>
      </c>
      <c r="E10" s="5">
        <v>3.3876400000000001E-2</v>
      </c>
    </row>
    <row r="11" spans="1:6">
      <c r="A11" s="3">
        <v>37347</v>
      </c>
      <c r="B11" s="4">
        <v>2002</v>
      </c>
      <c r="C11" s="4">
        <v>2</v>
      </c>
      <c r="D11" s="4" t="s">
        <v>38</v>
      </c>
      <c r="E11" s="5">
        <v>2.47344E-2</v>
      </c>
    </row>
    <row r="12" spans="1:6">
      <c r="A12" s="3">
        <v>37438</v>
      </c>
      <c r="B12" s="4">
        <v>2002</v>
      </c>
      <c r="C12" s="4">
        <v>3</v>
      </c>
      <c r="D12" s="4" t="s">
        <v>39</v>
      </c>
      <c r="E12" s="5">
        <v>1.63599E-2</v>
      </c>
    </row>
    <row r="13" spans="1:6">
      <c r="A13" s="3">
        <v>37530</v>
      </c>
      <c r="B13" s="4">
        <v>2002</v>
      </c>
      <c r="C13" s="4">
        <v>4</v>
      </c>
      <c r="D13" s="4" t="s">
        <v>40</v>
      </c>
      <c r="E13" s="5">
        <v>4.9534000000000002E-3</v>
      </c>
    </row>
    <row r="14" spans="1:6">
      <c r="A14" s="3">
        <v>37622</v>
      </c>
      <c r="B14" s="4">
        <v>2003</v>
      </c>
      <c r="C14" s="4">
        <v>1</v>
      </c>
      <c r="D14" s="4" t="s">
        <v>41</v>
      </c>
      <c r="E14" s="5">
        <v>2.1232700000000004E-2</v>
      </c>
    </row>
    <row r="15" spans="1:6">
      <c r="A15" s="3">
        <v>37712</v>
      </c>
      <c r="B15" s="4">
        <v>2003</v>
      </c>
      <c r="C15" s="4">
        <v>2</v>
      </c>
      <c r="D15" s="4" t="s">
        <v>42</v>
      </c>
      <c r="E15" s="5">
        <v>3.5898199999999998E-2</v>
      </c>
    </row>
    <row r="16" spans="1:6">
      <c r="A16" s="3">
        <v>37803</v>
      </c>
      <c r="B16" s="4">
        <v>2003</v>
      </c>
      <c r="C16" s="4">
        <v>3</v>
      </c>
      <c r="D16" s="4" t="s">
        <v>43</v>
      </c>
      <c r="E16" s="5">
        <v>6.8206199999999995E-2</v>
      </c>
    </row>
    <row r="17" spans="1:17">
      <c r="A17" s="3">
        <v>37895</v>
      </c>
      <c r="B17" s="4">
        <v>2003</v>
      </c>
      <c r="C17" s="4">
        <v>4</v>
      </c>
      <c r="D17" s="4" t="s">
        <v>44</v>
      </c>
      <c r="E17" s="5">
        <v>4.7243500000000001E-2</v>
      </c>
    </row>
    <row r="18" spans="1:17">
      <c r="A18" s="3">
        <v>37987</v>
      </c>
      <c r="B18" s="4">
        <v>2004</v>
      </c>
      <c r="C18" s="4">
        <v>1</v>
      </c>
      <c r="D18" s="4" t="s">
        <v>45</v>
      </c>
      <c r="E18" s="5">
        <v>2.2859400000000002E-2</v>
      </c>
    </row>
    <row r="19" spans="1:17">
      <c r="A19" s="3">
        <v>38078</v>
      </c>
      <c r="B19" s="4">
        <v>2004</v>
      </c>
      <c r="C19" s="4">
        <v>2</v>
      </c>
      <c r="D19" s="4" t="s">
        <v>46</v>
      </c>
      <c r="E19" s="5">
        <v>3.1360300000000001E-2</v>
      </c>
      <c r="H19" s="47"/>
      <c r="I19" s="69"/>
      <c r="J19" s="69"/>
      <c r="K19" s="69"/>
      <c r="L19" s="69"/>
      <c r="M19" s="69"/>
      <c r="N19" s="69"/>
      <c r="O19" s="69"/>
      <c r="P19" s="69"/>
      <c r="Q19" s="69"/>
    </row>
    <row r="20" spans="1:17">
      <c r="A20" s="3">
        <v>38169</v>
      </c>
      <c r="B20" s="4">
        <v>2004</v>
      </c>
      <c r="C20" s="4">
        <v>3</v>
      </c>
      <c r="D20" s="4" t="s">
        <v>47</v>
      </c>
      <c r="E20" s="5">
        <v>3.8487100000000003E-2</v>
      </c>
      <c r="H20" s="47"/>
      <c r="I20" s="48"/>
      <c r="J20" s="49"/>
      <c r="K20" s="50"/>
      <c r="L20" s="49"/>
      <c r="M20" s="49"/>
      <c r="N20" s="49"/>
      <c r="O20" s="49"/>
      <c r="P20" s="49"/>
      <c r="Q20" s="49"/>
    </row>
    <row r="21" spans="1:17">
      <c r="A21" s="3">
        <v>38261</v>
      </c>
      <c r="B21" s="4">
        <v>2004</v>
      </c>
      <c r="C21" s="4">
        <v>4</v>
      </c>
      <c r="D21" s="4" t="s">
        <v>48</v>
      </c>
      <c r="E21" s="5">
        <v>4.1437099999999998E-2</v>
      </c>
    </row>
    <row r="22" spans="1:17">
      <c r="A22" s="3">
        <v>38353</v>
      </c>
      <c r="B22" s="4">
        <v>2005</v>
      </c>
      <c r="C22" s="4">
        <v>1</v>
      </c>
      <c r="D22" s="4" t="s">
        <v>49</v>
      </c>
      <c r="E22" s="5">
        <v>4.5118400000000003E-2</v>
      </c>
    </row>
    <row r="23" spans="1:17">
      <c r="A23" s="3">
        <v>38443</v>
      </c>
      <c r="B23" s="4">
        <v>2005</v>
      </c>
      <c r="C23" s="4">
        <v>2</v>
      </c>
      <c r="D23" s="4" t="s">
        <v>50</v>
      </c>
      <c r="E23" s="5">
        <v>1.98511E-2</v>
      </c>
    </row>
    <row r="24" spans="1:17">
      <c r="A24" s="3">
        <v>38534</v>
      </c>
      <c r="B24" s="4">
        <v>2005</v>
      </c>
      <c r="C24" s="4">
        <v>3</v>
      </c>
      <c r="D24" s="4" t="s">
        <v>51</v>
      </c>
      <c r="E24" s="5">
        <v>3.1723099999999997E-2</v>
      </c>
    </row>
    <row r="25" spans="1:17">
      <c r="A25" s="3">
        <v>38626</v>
      </c>
      <c r="B25" s="4">
        <v>2005</v>
      </c>
      <c r="C25" s="4">
        <v>4</v>
      </c>
      <c r="D25" s="4" t="s">
        <v>52</v>
      </c>
      <c r="E25" s="5">
        <v>2.2406499999999999E-2</v>
      </c>
    </row>
    <row r="26" spans="1:17">
      <c r="A26" s="3">
        <v>38718</v>
      </c>
      <c r="B26" s="4">
        <v>2006</v>
      </c>
      <c r="C26" s="4">
        <v>1</v>
      </c>
      <c r="D26" s="4" t="s">
        <v>53</v>
      </c>
      <c r="E26" s="5">
        <v>5.4911199999999993E-2</v>
      </c>
    </row>
    <row r="27" spans="1:17">
      <c r="A27" s="3">
        <v>38808</v>
      </c>
      <c r="B27" s="4">
        <v>2006</v>
      </c>
      <c r="C27" s="4">
        <v>2</v>
      </c>
      <c r="D27" s="4" t="s">
        <v>54</v>
      </c>
      <c r="E27" s="5">
        <v>1.0390399999999999E-2</v>
      </c>
    </row>
    <row r="28" spans="1:17">
      <c r="A28" s="3">
        <v>38899</v>
      </c>
      <c r="B28" s="4">
        <v>2006</v>
      </c>
      <c r="C28" s="4">
        <v>3</v>
      </c>
      <c r="D28" s="4" t="s">
        <v>55</v>
      </c>
      <c r="E28" s="5">
        <v>6.0117E-3</v>
      </c>
    </row>
    <row r="29" spans="1:17">
      <c r="A29" s="3">
        <v>38991</v>
      </c>
      <c r="B29" s="4">
        <v>2006</v>
      </c>
      <c r="C29" s="4">
        <v>4</v>
      </c>
      <c r="D29" s="4" t="s">
        <v>56</v>
      </c>
      <c r="E29" s="5">
        <v>3.4823699999999999E-2</v>
      </c>
    </row>
    <row r="30" spans="1:17">
      <c r="A30" s="3">
        <v>39083</v>
      </c>
      <c r="B30" s="4">
        <v>2007</v>
      </c>
      <c r="C30" s="4">
        <v>1</v>
      </c>
      <c r="D30" s="4" t="s">
        <v>57</v>
      </c>
      <c r="E30" s="5">
        <v>1.2087799999999999E-2</v>
      </c>
    </row>
    <row r="31" spans="1:17">
      <c r="A31" s="3">
        <v>39173</v>
      </c>
      <c r="B31" s="4">
        <v>2007</v>
      </c>
      <c r="C31" s="4">
        <v>2</v>
      </c>
      <c r="D31" s="4" t="s">
        <v>58</v>
      </c>
      <c r="E31" s="5">
        <v>2.4695900000000003E-2</v>
      </c>
    </row>
    <row r="32" spans="1:17">
      <c r="A32" s="3">
        <v>39264</v>
      </c>
      <c r="B32" s="4">
        <v>2007</v>
      </c>
      <c r="C32" s="4">
        <v>3</v>
      </c>
      <c r="D32" s="4" t="s">
        <v>59</v>
      </c>
      <c r="E32" s="5">
        <v>2.3240899999999998E-2</v>
      </c>
    </row>
    <row r="33" spans="1:5">
      <c r="A33" s="3">
        <v>39356</v>
      </c>
      <c r="B33" s="4">
        <v>2007</v>
      </c>
      <c r="C33" s="4">
        <v>4</v>
      </c>
      <c r="D33" s="4" t="s">
        <v>60</v>
      </c>
      <c r="E33" s="5">
        <v>2.5367299999999999E-2</v>
      </c>
    </row>
    <row r="34" spans="1:5">
      <c r="A34" s="3">
        <v>39448</v>
      </c>
      <c r="B34" s="4">
        <v>2008</v>
      </c>
      <c r="C34" s="4">
        <v>1</v>
      </c>
      <c r="D34" s="4" t="s">
        <v>61</v>
      </c>
      <c r="E34" s="5">
        <v>-1.69616E-2</v>
      </c>
    </row>
    <row r="35" spans="1:5">
      <c r="A35" s="3">
        <v>39539</v>
      </c>
      <c r="B35" s="4">
        <v>2008</v>
      </c>
      <c r="C35" s="4">
        <v>2</v>
      </c>
      <c r="D35" s="4" t="s">
        <v>62</v>
      </c>
      <c r="E35" s="5">
        <v>2.4030700000000002E-2</v>
      </c>
    </row>
    <row r="36" spans="1:5">
      <c r="A36" s="3">
        <v>39630</v>
      </c>
      <c r="B36" s="4">
        <v>2008</v>
      </c>
      <c r="C36" s="4">
        <v>3</v>
      </c>
      <c r="D36" s="4" t="s">
        <v>63</v>
      </c>
      <c r="E36" s="5">
        <v>-2.08454E-2</v>
      </c>
    </row>
    <row r="37" spans="1:5">
      <c r="A37" s="3">
        <v>39722</v>
      </c>
      <c r="B37" s="4">
        <v>2008</v>
      </c>
      <c r="C37" s="4">
        <v>4</v>
      </c>
      <c r="D37" s="4" t="s">
        <v>64</v>
      </c>
      <c r="E37" s="5">
        <v>-8.4727700000000003E-2</v>
      </c>
    </row>
    <row r="38" spans="1:5">
      <c r="A38" s="3">
        <v>39814</v>
      </c>
      <c r="B38" s="4">
        <v>2009</v>
      </c>
      <c r="C38" s="4">
        <v>1</v>
      </c>
      <c r="D38" s="4" t="s">
        <v>65</v>
      </c>
      <c r="E38" s="5">
        <v>-4.4627999999999994E-2</v>
      </c>
    </row>
    <row r="39" spans="1:5">
      <c r="A39" s="3">
        <v>39904</v>
      </c>
      <c r="B39" s="4">
        <v>2009</v>
      </c>
      <c r="C39" s="4">
        <v>2</v>
      </c>
      <c r="D39" s="4" t="s">
        <v>66</v>
      </c>
      <c r="E39" s="5">
        <v>-7.1269000000000002E-3</v>
      </c>
    </row>
    <row r="40" spans="1:5">
      <c r="A40" s="3">
        <v>39995</v>
      </c>
      <c r="B40" s="4">
        <v>2009</v>
      </c>
      <c r="C40" s="4">
        <v>3</v>
      </c>
      <c r="D40" s="4" t="s">
        <v>67</v>
      </c>
      <c r="E40" s="5">
        <v>1.41219E-2</v>
      </c>
    </row>
    <row r="41" spans="1:5">
      <c r="A41" s="3">
        <v>40087</v>
      </c>
      <c r="B41" s="4">
        <v>2009</v>
      </c>
      <c r="C41" s="4">
        <v>4</v>
      </c>
      <c r="D41" s="4" t="s">
        <v>68</v>
      </c>
      <c r="E41" s="5">
        <v>4.3942599999999998E-2</v>
      </c>
    </row>
    <row r="42" spans="1:5">
      <c r="A42" s="3">
        <v>40179</v>
      </c>
      <c r="B42" s="4">
        <v>2010</v>
      </c>
      <c r="C42" s="4">
        <v>1</v>
      </c>
      <c r="D42" s="4" t="s">
        <v>69</v>
      </c>
      <c r="E42" s="5">
        <v>1.9521299999999998E-2</v>
      </c>
    </row>
    <row r="43" spans="1:5">
      <c r="A43" s="3">
        <v>40269</v>
      </c>
      <c r="B43" s="4">
        <v>2010</v>
      </c>
      <c r="C43" s="4">
        <v>2</v>
      </c>
      <c r="D43" s="4" t="s">
        <v>70</v>
      </c>
      <c r="E43" s="5">
        <v>3.92688E-2</v>
      </c>
    </row>
    <row r="44" spans="1:5">
      <c r="A44" s="3">
        <v>40360</v>
      </c>
      <c r="B44" s="4">
        <v>2010</v>
      </c>
      <c r="C44" s="4">
        <v>3</v>
      </c>
      <c r="D44" s="4" t="s">
        <v>71</v>
      </c>
      <c r="E44" s="5">
        <v>3.1202000000000001E-2</v>
      </c>
    </row>
    <row r="45" spans="1:5">
      <c r="A45" s="3">
        <v>40452</v>
      </c>
      <c r="B45" s="4">
        <v>2010</v>
      </c>
      <c r="C45" s="4">
        <v>4</v>
      </c>
      <c r="D45" s="4" t="s">
        <v>72</v>
      </c>
      <c r="E45" s="5">
        <v>2.1170399999999999E-2</v>
      </c>
    </row>
    <row r="46" spans="1:5">
      <c r="A46" s="3">
        <v>40544</v>
      </c>
      <c r="B46" s="4">
        <v>2011</v>
      </c>
      <c r="C46" s="4">
        <v>1</v>
      </c>
      <c r="D46" s="4" t="s">
        <v>73</v>
      </c>
      <c r="E46" s="5">
        <v>-9.4544999999999994E-3</v>
      </c>
    </row>
    <row r="47" spans="1:5">
      <c r="A47" s="3">
        <v>40634</v>
      </c>
      <c r="B47" s="4">
        <v>2011</v>
      </c>
      <c r="C47" s="4">
        <v>2</v>
      </c>
      <c r="D47" s="4" t="s">
        <v>74</v>
      </c>
      <c r="E47" s="5">
        <v>2.7339199999999998E-2</v>
      </c>
    </row>
    <row r="48" spans="1:5">
      <c r="A48" s="3">
        <v>40725</v>
      </c>
      <c r="B48" s="4">
        <v>2011</v>
      </c>
      <c r="C48" s="4">
        <v>3</v>
      </c>
      <c r="D48" s="4" t="s">
        <v>75</v>
      </c>
      <c r="E48" s="5">
        <v>-8.9219999999999989E-4</v>
      </c>
    </row>
    <row r="49" spans="1:18">
      <c r="A49" s="3">
        <v>40817</v>
      </c>
      <c r="B49" s="4">
        <v>2011</v>
      </c>
      <c r="C49" s="4">
        <v>4</v>
      </c>
      <c r="D49" s="4" t="s">
        <v>76</v>
      </c>
      <c r="E49" s="5">
        <v>4.56844E-2</v>
      </c>
    </row>
    <row r="50" spans="1:18">
      <c r="A50" s="3">
        <v>40909</v>
      </c>
      <c r="B50" s="4">
        <v>2012</v>
      </c>
      <c r="C50" s="4">
        <v>1</v>
      </c>
      <c r="D50" s="4" t="s">
        <v>77</v>
      </c>
      <c r="E50" s="5">
        <v>3.3967900000000002E-2</v>
      </c>
    </row>
    <row r="51" spans="1:18">
      <c r="A51" s="3">
        <v>41000</v>
      </c>
      <c r="B51" s="4">
        <v>2012</v>
      </c>
      <c r="C51" s="4">
        <v>2</v>
      </c>
      <c r="D51" s="4" t="s">
        <v>78</v>
      </c>
      <c r="E51" s="5">
        <v>1.7973300000000001E-2</v>
      </c>
    </row>
    <row r="52" spans="1:18">
      <c r="A52" s="3">
        <v>41091</v>
      </c>
      <c r="B52" s="4">
        <v>2012</v>
      </c>
      <c r="C52" s="4">
        <v>3</v>
      </c>
      <c r="D52" s="4" t="s">
        <v>79</v>
      </c>
      <c r="E52" s="5">
        <v>5.7736000000000003E-3</v>
      </c>
    </row>
    <row r="53" spans="1:18">
      <c r="A53" s="3">
        <v>41183</v>
      </c>
      <c r="B53" s="4">
        <v>2012</v>
      </c>
      <c r="C53" s="4">
        <v>4</v>
      </c>
      <c r="D53" s="4" t="s">
        <v>80</v>
      </c>
      <c r="E53" s="5">
        <v>4.6337000000000001E-3</v>
      </c>
    </row>
    <row r="54" spans="1:18">
      <c r="A54" s="3">
        <v>41275</v>
      </c>
      <c r="B54" s="4">
        <v>2013</v>
      </c>
      <c r="C54" s="4">
        <v>1</v>
      </c>
      <c r="D54" s="4" t="s">
        <v>81</v>
      </c>
      <c r="E54" s="5">
        <v>4.0050299999999997E-2</v>
      </c>
    </row>
    <row r="55" spans="1:18">
      <c r="A55" s="3">
        <v>41365</v>
      </c>
      <c r="B55" s="4">
        <v>2013</v>
      </c>
      <c r="C55" s="4">
        <v>2</v>
      </c>
      <c r="D55" s="4" t="s">
        <v>82</v>
      </c>
      <c r="E55" s="5">
        <v>1.0748500000000001E-2</v>
      </c>
      <c r="J55" s="54"/>
      <c r="K55" s="54"/>
      <c r="L55" s="54"/>
      <c r="M55" s="54"/>
      <c r="N55" s="54"/>
      <c r="O55" s="54"/>
      <c r="P55" s="54"/>
      <c r="Q55" s="54"/>
      <c r="R55" s="54"/>
    </row>
    <row r="56" spans="1:18">
      <c r="A56" s="3">
        <v>41456</v>
      </c>
      <c r="B56" s="4">
        <v>2013</v>
      </c>
      <c r="C56" s="4">
        <v>3</v>
      </c>
      <c r="D56" s="4" t="s">
        <v>83</v>
      </c>
      <c r="E56" s="5">
        <v>3.4493099999999999E-2</v>
      </c>
      <c r="J56" s="54"/>
      <c r="K56" s="54"/>
      <c r="L56" s="54"/>
      <c r="M56" s="54"/>
      <c r="N56" s="54"/>
      <c r="O56" s="54"/>
      <c r="P56" s="54"/>
      <c r="Q56" s="54"/>
      <c r="R56" s="54"/>
    </row>
    <row r="57" spans="1:18">
      <c r="A57" s="3">
        <v>41548</v>
      </c>
      <c r="B57" s="4">
        <v>2013</v>
      </c>
      <c r="C57" s="4">
        <v>4</v>
      </c>
      <c r="D57" s="4" t="s">
        <v>84</v>
      </c>
      <c r="E57" s="5">
        <v>3.53283E-2</v>
      </c>
    </row>
    <row r="58" spans="1:18">
      <c r="A58" s="3">
        <v>41640</v>
      </c>
      <c r="B58" s="4">
        <v>2014</v>
      </c>
      <c r="C58" s="4">
        <v>1</v>
      </c>
      <c r="D58" s="4" t="s">
        <v>85</v>
      </c>
      <c r="E58" s="5">
        <v>-1.3732500000000002E-2</v>
      </c>
    </row>
    <row r="59" spans="1:18">
      <c r="A59" s="3">
        <v>41730</v>
      </c>
      <c r="B59" s="4">
        <v>2014</v>
      </c>
      <c r="C59" s="4">
        <v>2</v>
      </c>
      <c r="D59" s="4" t="s">
        <v>86</v>
      </c>
      <c r="E59" s="5">
        <v>5.26837E-2</v>
      </c>
    </row>
    <row r="60" spans="1:18">
      <c r="A60" s="3">
        <v>41821</v>
      </c>
      <c r="B60" s="4">
        <v>2014</v>
      </c>
      <c r="C60" s="4">
        <v>3</v>
      </c>
      <c r="D60" s="4" t="s">
        <v>87</v>
      </c>
      <c r="E60" s="5">
        <v>4.9509200000000003E-2</v>
      </c>
    </row>
    <row r="61" spans="1:18">
      <c r="A61" s="3">
        <v>41913</v>
      </c>
      <c r="B61" s="4">
        <v>2014</v>
      </c>
      <c r="C61" s="4">
        <v>4</v>
      </c>
      <c r="D61" s="4" t="s">
        <v>88</v>
      </c>
      <c r="E61" s="5">
        <v>2.0383300000000003E-2</v>
      </c>
    </row>
    <row r="62" spans="1:18">
      <c r="A62" s="3">
        <v>42005</v>
      </c>
      <c r="B62" s="4">
        <v>2015</v>
      </c>
      <c r="C62" s="4">
        <v>1</v>
      </c>
      <c r="D62" s="4" t="s">
        <v>89</v>
      </c>
      <c r="E62" s="5">
        <v>3.6508899999999997E-2</v>
      </c>
    </row>
    <row r="63" spans="1:18">
      <c r="A63" s="3">
        <v>42095</v>
      </c>
      <c r="B63" s="4">
        <v>2015</v>
      </c>
      <c r="C63" s="4">
        <v>2</v>
      </c>
      <c r="D63" s="4" t="s">
        <v>90</v>
      </c>
      <c r="E63" s="5">
        <v>2.5007399999999999E-2</v>
      </c>
    </row>
    <row r="64" spans="1:18">
      <c r="A64" s="3">
        <v>42186</v>
      </c>
      <c r="B64" s="4">
        <v>2015</v>
      </c>
      <c r="C64" s="4">
        <v>3</v>
      </c>
      <c r="D64" s="4" t="s">
        <v>91</v>
      </c>
      <c r="E64" s="5">
        <v>1.6106200000000001E-2</v>
      </c>
    </row>
    <row r="65" spans="1:5">
      <c r="A65" s="3">
        <v>42278</v>
      </c>
      <c r="B65" s="4">
        <v>2015</v>
      </c>
      <c r="C65" s="4">
        <v>4</v>
      </c>
      <c r="D65" s="4" t="s">
        <v>92</v>
      </c>
      <c r="E65" s="5">
        <v>7.3995999999999992E-3</v>
      </c>
    </row>
    <row r="66" spans="1:5">
      <c r="A66" s="3">
        <v>42370</v>
      </c>
      <c r="B66" s="4">
        <v>2016</v>
      </c>
      <c r="C66" s="4">
        <v>1</v>
      </c>
      <c r="D66" s="4" t="s">
        <v>93</v>
      </c>
      <c r="E66" s="5">
        <v>2.33831E-2</v>
      </c>
    </row>
    <row r="67" spans="1:5">
      <c r="A67" s="3">
        <v>42461</v>
      </c>
      <c r="B67" s="4">
        <v>2016</v>
      </c>
      <c r="C67" s="4">
        <v>2</v>
      </c>
      <c r="D67" s="4" t="s">
        <v>94</v>
      </c>
      <c r="E67" s="5">
        <v>1.2907E-2</v>
      </c>
    </row>
    <row r="68" spans="1:5">
      <c r="A68" s="3">
        <v>42552</v>
      </c>
      <c r="B68" s="4">
        <v>2016</v>
      </c>
      <c r="C68" s="4">
        <v>3</v>
      </c>
      <c r="D68" s="4" t="s">
        <v>95</v>
      </c>
      <c r="E68" s="5">
        <v>2.8679E-2</v>
      </c>
    </row>
    <row r="69" spans="1:5">
      <c r="A69" s="3">
        <v>42644</v>
      </c>
      <c r="B69" s="4">
        <v>2016</v>
      </c>
      <c r="C69" s="4">
        <v>4</v>
      </c>
      <c r="D69" s="4" t="s">
        <v>96</v>
      </c>
      <c r="E69" s="5">
        <v>2.2357000000000002E-2</v>
      </c>
    </row>
    <row r="70" spans="1:5">
      <c r="A70" s="3">
        <v>42736</v>
      </c>
      <c r="B70" s="4">
        <v>2017</v>
      </c>
      <c r="C70" s="4">
        <v>1</v>
      </c>
      <c r="D70" s="4" t="s">
        <v>97</v>
      </c>
      <c r="E70" s="5">
        <v>1.9618299999999998E-2</v>
      </c>
    </row>
    <row r="71" spans="1:5">
      <c r="A71" s="3">
        <v>42826</v>
      </c>
      <c r="B71" s="4">
        <v>2017</v>
      </c>
      <c r="C71" s="4">
        <v>2</v>
      </c>
      <c r="D71" s="4" t="s">
        <v>98</v>
      </c>
      <c r="E71" s="5">
        <v>2.2583700000000002E-2</v>
      </c>
    </row>
    <row r="72" spans="1:5">
      <c r="A72" s="3">
        <v>42917</v>
      </c>
      <c r="B72" s="4">
        <v>2017</v>
      </c>
      <c r="C72" s="4">
        <v>3</v>
      </c>
      <c r="D72" s="4" t="s">
        <v>99</v>
      </c>
      <c r="E72" s="5">
        <v>3.1916E-2</v>
      </c>
    </row>
    <row r="73" spans="1:5">
      <c r="A73" s="3">
        <v>43009</v>
      </c>
      <c r="B73" s="4">
        <v>2017</v>
      </c>
      <c r="C73" s="4">
        <v>4</v>
      </c>
      <c r="D73" s="4" t="s">
        <v>100</v>
      </c>
      <c r="E73" s="5">
        <v>4.58497E-2</v>
      </c>
    </row>
    <row r="74" spans="1:5">
      <c r="A74" s="3">
        <v>43101</v>
      </c>
      <c r="B74" s="4">
        <v>2018</v>
      </c>
      <c r="C74" s="4">
        <v>1</v>
      </c>
      <c r="D74" s="4" t="s">
        <v>101</v>
      </c>
      <c r="E74" s="5">
        <v>3.2935499999999999E-2</v>
      </c>
    </row>
    <row r="75" spans="1:5">
      <c r="A75" s="3">
        <v>43191</v>
      </c>
      <c r="B75" s="4">
        <v>2018</v>
      </c>
      <c r="C75" s="4">
        <v>2</v>
      </c>
      <c r="D75" s="4" t="s">
        <v>102</v>
      </c>
      <c r="E75" s="5">
        <v>2.14027E-2</v>
      </c>
    </row>
    <row r="76" spans="1:5">
      <c r="A76" s="3">
        <v>43282</v>
      </c>
      <c r="B76" s="4">
        <v>2018</v>
      </c>
      <c r="C76" s="4">
        <v>3</v>
      </c>
      <c r="D76" s="4" t="s">
        <v>103</v>
      </c>
      <c r="E76" s="5">
        <v>2.5182300000000001E-2</v>
      </c>
    </row>
    <row r="77" spans="1:5">
      <c r="A77" s="3">
        <v>43374</v>
      </c>
      <c r="B77" s="4">
        <v>2018</v>
      </c>
      <c r="C77" s="4">
        <v>4</v>
      </c>
      <c r="D77" s="4" t="s">
        <v>104</v>
      </c>
      <c r="E77" s="5">
        <v>5.6777999999999993E-3</v>
      </c>
    </row>
    <row r="78" spans="1:5">
      <c r="A78" s="3">
        <v>43466</v>
      </c>
      <c r="B78" s="4">
        <v>2019</v>
      </c>
      <c r="C78" s="4">
        <v>1</v>
      </c>
      <c r="D78" s="4" t="s">
        <v>105</v>
      </c>
      <c r="E78" s="5">
        <v>2.52076E-2</v>
      </c>
    </row>
    <row r="79" spans="1:5">
      <c r="A79" s="3">
        <v>43556</v>
      </c>
      <c r="B79" s="4">
        <v>2019</v>
      </c>
      <c r="C79" s="4">
        <v>2</v>
      </c>
      <c r="D79" s="4" t="s">
        <v>106</v>
      </c>
      <c r="E79" s="5">
        <v>3.3826599999999998E-2</v>
      </c>
    </row>
    <row r="80" spans="1:5">
      <c r="A80" s="3">
        <v>43647</v>
      </c>
      <c r="B80" s="4">
        <v>2019</v>
      </c>
      <c r="C80" s="4">
        <v>3</v>
      </c>
      <c r="D80" s="4" t="s">
        <v>107</v>
      </c>
      <c r="E80" s="5">
        <v>4.7627800000000005E-2</v>
      </c>
    </row>
    <row r="81" spans="1:6">
      <c r="A81" s="3">
        <v>43739</v>
      </c>
      <c r="B81" s="4">
        <v>2019</v>
      </c>
      <c r="C81" s="4">
        <v>4</v>
      </c>
      <c r="D81" s="4" t="s">
        <v>108</v>
      </c>
      <c r="E81" s="5">
        <v>2.7555399999999997E-2</v>
      </c>
    </row>
    <row r="82" spans="1:6">
      <c r="A82" s="3">
        <v>43831</v>
      </c>
      <c r="B82" s="4">
        <v>2020</v>
      </c>
      <c r="C82" s="4">
        <v>1</v>
      </c>
      <c r="D82" s="4" t="s">
        <v>109</v>
      </c>
      <c r="E82" s="5">
        <v>-5.4545099999999999E-2</v>
      </c>
    </row>
    <row r="83" spans="1:6">
      <c r="A83" s="3">
        <v>43922</v>
      </c>
      <c r="B83" s="4">
        <v>2020</v>
      </c>
      <c r="C83" s="4">
        <v>2</v>
      </c>
      <c r="D83" s="4" t="s">
        <v>110</v>
      </c>
      <c r="E83" s="5">
        <v>-0.2807673</v>
      </c>
    </row>
    <row r="84" spans="1:6">
      <c r="A84" s="3">
        <v>44013</v>
      </c>
      <c r="B84" s="4">
        <v>2020</v>
      </c>
      <c r="C84" s="4">
        <v>3</v>
      </c>
      <c r="D84" s="4" t="s">
        <v>111</v>
      </c>
      <c r="E84" s="5">
        <v>0.3519544</v>
      </c>
    </row>
    <row r="85" spans="1:6">
      <c r="A85" s="3">
        <v>44105</v>
      </c>
      <c r="B85" s="4">
        <v>2020</v>
      </c>
      <c r="C85" s="4">
        <v>4</v>
      </c>
      <c r="D85" s="4" t="s">
        <v>112</v>
      </c>
      <c r="E85" s="5">
        <v>4.4100099999999996E-2</v>
      </c>
    </row>
    <row r="86" spans="1:6">
      <c r="A86" s="3">
        <v>44197</v>
      </c>
      <c r="B86" s="4">
        <v>2021</v>
      </c>
      <c r="C86" s="4">
        <v>1</v>
      </c>
      <c r="D86" s="4" t="s">
        <v>113</v>
      </c>
      <c r="E86" s="5">
        <v>5.6360900000000005E-2</v>
      </c>
    </row>
    <row r="87" spans="1:6">
      <c r="A87" s="3">
        <v>44287</v>
      </c>
      <c r="B87" s="4">
        <v>2021</v>
      </c>
      <c r="C87" s="4">
        <v>2</v>
      </c>
      <c r="D87" s="4" t="s">
        <v>114</v>
      </c>
      <c r="E87" s="5">
        <v>6.4296400000000004E-2</v>
      </c>
    </row>
    <row r="88" spans="1:6">
      <c r="A88" s="3">
        <v>44378</v>
      </c>
      <c r="B88" s="4">
        <v>2021</v>
      </c>
      <c r="C88" s="4">
        <v>3</v>
      </c>
      <c r="D88" s="4" t="s">
        <v>115</v>
      </c>
      <c r="E88" s="5">
        <v>3.4552900000000004E-2</v>
      </c>
    </row>
    <row r="89" spans="1:6">
      <c r="A89" s="3">
        <v>44470</v>
      </c>
      <c r="B89" s="4">
        <v>2021</v>
      </c>
      <c r="C89" s="4">
        <v>4</v>
      </c>
      <c r="D89" s="4" t="s">
        <v>116</v>
      </c>
      <c r="E89" s="5">
        <v>7.4100700000000005E-2</v>
      </c>
    </row>
    <row r="90" spans="1:6">
      <c r="A90" s="3">
        <v>44562</v>
      </c>
      <c r="B90" s="4">
        <v>2022</v>
      </c>
      <c r="C90" s="4">
        <v>1</v>
      </c>
      <c r="D90" s="4" t="s">
        <v>117</v>
      </c>
      <c r="E90" s="5">
        <v>-1.0258499999999999E-2</v>
      </c>
      <c r="F90" s="6">
        <v>4.0000000000000001E-3</v>
      </c>
    </row>
    <row r="91" spans="1:6">
      <c r="A91" s="3">
        <v>44652</v>
      </c>
      <c r="B91" s="4">
        <v>2022</v>
      </c>
      <c r="C91" s="4">
        <v>2</v>
      </c>
      <c r="D91" s="4" t="s">
        <v>118</v>
      </c>
      <c r="E91" s="5">
        <v>2.8100999999999998E-3</v>
      </c>
      <c r="F91" s="6">
        <v>-4.0000000000000001E-3</v>
      </c>
    </row>
    <row r="92" spans="1:6">
      <c r="A92" s="3">
        <v>44743</v>
      </c>
      <c r="B92" s="4">
        <v>2022</v>
      </c>
      <c r="C92" s="4">
        <v>3</v>
      </c>
      <c r="D92" s="4" t="s">
        <v>119</v>
      </c>
      <c r="E92" s="5">
        <v>2.72015E-2</v>
      </c>
      <c r="F92" s="6">
        <v>4.2999999999999997E-2</v>
      </c>
    </row>
    <row r="93" spans="1:6">
      <c r="A93" s="3">
        <v>44835</v>
      </c>
      <c r="B93" s="4">
        <v>2022</v>
      </c>
      <c r="C93" s="4">
        <v>4</v>
      </c>
      <c r="D93" s="4" t="s">
        <v>120</v>
      </c>
      <c r="E93" s="5">
        <v>3.3526600000000004E-2</v>
      </c>
      <c r="F93" s="6">
        <v>2.1999999999999999E-2</v>
      </c>
    </row>
    <row r="94" spans="1:6">
      <c r="A94" s="3">
        <v>44927</v>
      </c>
      <c r="B94" s="4">
        <v>2023</v>
      </c>
      <c r="C94" s="4">
        <v>1</v>
      </c>
      <c r="D94" s="4" t="s">
        <v>121</v>
      </c>
      <c r="E94" s="5">
        <v>2.7970399999999999E-2</v>
      </c>
      <c r="F94" s="6">
        <v>2.9000000000000001E-2</v>
      </c>
    </row>
    <row r="95" spans="1:6">
      <c r="A95" s="3">
        <v>45017</v>
      </c>
      <c r="B95" s="4">
        <v>2023</v>
      </c>
      <c r="C95" s="4">
        <v>2</v>
      </c>
      <c r="D95" s="4" t="s">
        <v>122</v>
      </c>
      <c r="E95" s="5">
        <v>2.4500899999999999E-2</v>
      </c>
      <c r="F95" s="6">
        <v>2.3E-2</v>
      </c>
    </row>
    <row r="96" spans="1:6">
      <c r="A96" s="3">
        <v>45108</v>
      </c>
      <c r="B96" s="4">
        <v>2023</v>
      </c>
      <c r="C96" s="4">
        <v>3</v>
      </c>
      <c r="D96" s="4" t="s">
        <v>123</v>
      </c>
      <c r="E96" s="5">
        <v>4.3554700000000002E-2</v>
      </c>
      <c r="F96" s="6">
        <v>3.3000000000000002E-2</v>
      </c>
    </row>
    <row r="97" spans="1:6">
      <c r="A97" s="3">
        <v>45200</v>
      </c>
      <c r="B97" s="4">
        <v>2023</v>
      </c>
      <c r="C97" s="4">
        <v>4</v>
      </c>
      <c r="D97" s="4" t="s">
        <v>124</v>
      </c>
      <c r="E97" s="5">
        <v>3.1922100000000002E-2</v>
      </c>
      <c r="F97" s="6">
        <v>3.9E-2</v>
      </c>
    </row>
    <row r="98" spans="1:6">
      <c r="A98" s="3">
        <v>45292</v>
      </c>
      <c r="B98" s="4">
        <v>2024</v>
      </c>
      <c r="C98" s="4">
        <v>1</v>
      </c>
      <c r="D98" s="4" t="s">
        <v>125</v>
      </c>
      <c r="E98" s="5">
        <v>1.6290700000000002E-2</v>
      </c>
      <c r="F98" s="6">
        <v>2.1000000000000001E-2</v>
      </c>
    </row>
    <row r="99" spans="1:6">
      <c r="A99" s="3">
        <v>45383</v>
      </c>
      <c r="B99" s="4">
        <v>2024</v>
      </c>
      <c r="C99" s="4">
        <v>2</v>
      </c>
      <c r="D99" s="4" t="s">
        <v>126</v>
      </c>
      <c r="E99" s="5">
        <v>2.9888499999999998E-2</v>
      </c>
      <c r="F99" s="6">
        <v>2.7E-2</v>
      </c>
    </row>
    <row r="100" spans="1:6">
      <c r="A100" s="3">
        <v>45474</v>
      </c>
      <c r="B100" s="4">
        <v>2024</v>
      </c>
      <c r="C100" s="4">
        <v>3</v>
      </c>
      <c r="D100" s="4" t="s">
        <v>127</v>
      </c>
      <c r="E100" s="5">
        <v>3.07283E-2</v>
      </c>
      <c r="F100" s="6">
        <v>2.7E-2</v>
      </c>
    </row>
    <row r="101" spans="1:6">
      <c r="A101" s="3">
        <v>45566</v>
      </c>
      <c r="B101" s="4">
        <v>2024</v>
      </c>
      <c r="C101" s="4">
        <v>4</v>
      </c>
      <c r="D101" s="4" t="s">
        <v>128</v>
      </c>
      <c r="E101" s="5">
        <v>2.4504600000000001E-2</v>
      </c>
      <c r="F101" s="6">
        <v>2.8000000000000001E-2</v>
      </c>
    </row>
    <row r="102" spans="1:6">
      <c r="A102" s="3">
        <v>45658</v>
      </c>
      <c r="B102" s="4">
        <v>2025</v>
      </c>
      <c r="C102" s="4">
        <v>1</v>
      </c>
      <c r="D102" s="4" t="s">
        <v>129</v>
      </c>
      <c r="E102" s="6">
        <v>-5.0000000000000001E-3</v>
      </c>
      <c r="F102" s="6">
        <v>6.0000000000000001E-3</v>
      </c>
    </row>
    <row r="103" spans="1:6">
      <c r="A103" s="3">
        <v>45748</v>
      </c>
      <c r="B103" s="4">
        <v>2025</v>
      </c>
      <c r="C103" s="4">
        <v>2</v>
      </c>
      <c r="D103" s="4" t="s">
        <v>130</v>
      </c>
      <c r="E103" s="29">
        <v>3.8399999999999997E-2</v>
      </c>
      <c r="F103" s="6">
        <v>4.2999999999999997E-2</v>
      </c>
    </row>
    <row r="104" spans="1:6">
      <c r="A104" s="3">
        <v>45839</v>
      </c>
      <c r="B104" s="4">
        <v>2025</v>
      </c>
      <c r="C104" s="4">
        <v>3</v>
      </c>
      <c r="D104" s="4" t="s">
        <v>131</v>
      </c>
      <c r="E104" s="6">
        <v>4.3999999999999997E-2</v>
      </c>
      <c r="F104" s="6">
        <v>2.4E-2</v>
      </c>
    </row>
    <row r="105" spans="1:6">
      <c r="A105" s="3">
        <v>45931</v>
      </c>
      <c r="B105" s="4">
        <v>2025</v>
      </c>
      <c r="C105" s="4">
        <v>4</v>
      </c>
      <c r="D105" s="4" t="s">
        <v>132</v>
      </c>
      <c r="E105" s="6">
        <v>7.0000000000000001E-3</v>
      </c>
      <c r="F105" s="6">
        <v>5.1999999999999998E-2</v>
      </c>
    </row>
    <row r="106" spans="1:6">
      <c r="A106" s="3">
        <v>46023</v>
      </c>
      <c r="B106">
        <v>2026</v>
      </c>
      <c r="C106" s="4">
        <v>1</v>
      </c>
      <c r="D106" s="4" t="s">
        <v>133</v>
      </c>
      <c r="F106" s="6">
        <v>2.1999999999999999E-2</v>
      </c>
    </row>
    <row r="107" spans="1:6">
      <c r="F107" s="47"/>
    </row>
  </sheetData>
  <mergeCells count="1">
    <mergeCell ref="I19:Q19"/>
  </mergeCells>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82EC0-0CD9-4C3F-B748-1213FCB75DD4}">
  <sheetPr>
    <tabColor theme="5"/>
  </sheetPr>
  <dimension ref="A1:K60"/>
  <sheetViews>
    <sheetView showGridLines="0" zoomScale="84" zoomScaleNormal="70" workbookViewId="0">
      <pane xSplit="5" ySplit="1" topLeftCell="F2" activePane="bottomRight" state="frozen"/>
      <selection pane="bottomRight" activeCell="F35" sqref="F35"/>
      <selection pane="bottomLeft"/>
      <selection pane="topRight"/>
    </sheetView>
  </sheetViews>
  <sheetFormatPr defaultColWidth="11" defaultRowHeight="15.75" customHeight="1" outlineLevelRow="1"/>
  <cols>
    <col min="1" max="10" width="15.875" customWidth="1"/>
  </cols>
  <sheetData>
    <row r="1" spans="1:10" ht="31.15">
      <c r="A1" s="8" t="s">
        <v>134</v>
      </c>
      <c r="B1" s="7" t="s">
        <v>0</v>
      </c>
      <c r="C1" s="7" t="s">
        <v>24</v>
      </c>
      <c r="D1" s="7" t="s">
        <v>135</v>
      </c>
      <c r="E1" s="7" t="s">
        <v>136</v>
      </c>
      <c r="F1" s="8" t="s">
        <v>137</v>
      </c>
      <c r="G1" s="7" t="s">
        <v>138</v>
      </c>
      <c r="H1" s="7" t="s">
        <v>139</v>
      </c>
      <c r="I1" s="8" t="s">
        <v>140</v>
      </c>
      <c r="J1" s="7" t="s">
        <v>141</v>
      </c>
    </row>
    <row r="2" spans="1:10" ht="15.6">
      <c r="A2" s="9" t="s">
        <v>129</v>
      </c>
      <c r="B2" s="28">
        <v>45718</v>
      </c>
      <c r="C2">
        <f t="shared" ref="C2:C39" si="0">YEAR(B2)</f>
        <v>2025</v>
      </c>
      <c r="D2" s="9" t="str">
        <f t="shared" ref="D2:D50" si="1">TEXT($B2, "dddd")</f>
        <v>Sunday</v>
      </c>
      <c r="E2" s="9" t="str">
        <f t="shared" ref="E2:E50" si="2">TEXT($B2, "mmmm")</f>
        <v>March</v>
      </c>
      <c r="F2" s="10">
        <v>3.3915591301088552</v>
      </c>
      <c r="G2" s="9"/>
      <c r="H2" s="10">
        <v>-3.38</v>
      </c>
      <c r="I2" s="10">
        <v>0.4</v>
      </c>
      <c r="J2" s="10">
        <f t="shared" ref="J2:J39" si="3">SUM(F2:I2)</f>
        <v>0.41155913010885536</v>
      </c>
    </row>
    <row r="3" spans="1:10" ht="15.6">
      <c r="A3" s="9" t="s">
        <v>129</v>
      </c>
      <c r="B3" s="28">
        <v>45725</v>
      </c>
      <c r="C3">
        <f t="shared" si="0"/>
        <v>2025</v>
      </c>
      <c r="D3" s="9" t="str">
        <f t="shared" si="1"/>
        <v>Sunday</v>
      </c>
      <c r="E3" s="9" t="str">
        <f t="shared" si="2"/>
        <v>March</v>
      </c>
      <c r="F3" s="10">
        <v>3.3915591301088552</v>
      </c>
      <c r="G3" s="9"/>
      <c r="H3" s="10">
        <v>-3.5556358333056348</v>
      </c>
      <c r="I3" s="10">
        <v>0.4</v>
      </c>
      <c r="J3" s="10">
        <f t="shared" si="3"/>
        <v>0.23592329680322044</v>
      </c>
    </row>
    <row r="4" spans="1:10" ht="15.6">
      <c r="A4" s="9" t="s">
        <v>129</v>
      </c>
      <c r="B4" s="28">
        <v>45732</v>
      </c>
      <c r="C4">
        <f t="shared" si="0"/>
        <v>2025</v>
      </c>
      <c r="D4" s="9" t="str">
        <f t="shared" si="1"/>
        <v>Sunday</v>
      </c>
      <c r="E4" s="9" t="str">
        <f t="shared" si="2"/>
        <v>March</v>
      </c>
      <c r="F4" s="10">
        <v>3.3915591301088552</v>
      </c>
      <c r="G4" s="9"/>
      <c r="H4" s="10">
        <v>-3.5556358333056348</v>
      </c>
      <c r="I4" s="10">
        <v>0.4</v>
      </c>
      <c r="J4" s="10">
        <f t="shared" si="3"/>
        <v>0.23592329680322044</v>
      </c>
    </row>
    <row r="5" spans="1:10" ht="15.6">
      <c r="A5" s="9" t="s">
        <v>129</v>
      </c>
      <c r="B5" s="28">
        <v>45739</v>
      </c>
      <c r="C5">
        <f t="shared" si="0"/>
        <v>2025</v>
      </c>
      <c r="D5" s="9" t="str">
        <f t="shared" si="1"/>
        <v>Sunday</v>
      </c>
      <c r="E5" s="9" t="str">
        <f t="shared" si="2"/>
        <v>March</v>
      </c>
      <c r="F5" s="10">
        <v>3.4199876319564808</v>
      </c>
      <c r="G5" s="9"/>
      <c r="H5" s="10">
        <v>-3.5556358333056348</v>
      </c>
      <c r="I5" s="10">
        <v>0.7</v>
      </c>
      <c r="J5" s="10">
        <f t="shared" si="3"/>
        <v>0.56435179865084595</v>
      </c>
    </row>
    <row r="6" spans="1:10" ht="15.6">
      <c r="A6" s="9" t="s">
        <v>129</v>
      </c>
      <c r="B6" s="28">
        <v>45746</v>
      </c>
      <c r="C6">
        <f t="shared" si="0"/>
        <v>2025</v>
      </c>
      <c r="D6" s="9" t="str">
        <f t="shared" si="1"/>
        <v>Sunday</v>
      </c>
      <c r="E6" s="9" t="str">
        <f t="shared" si="2"/>
        <v>March</v>
      </c>
      <c r="F6" s="10">
        <v>3.4504549117470908</v>
      </c>
      <c r="G6" s="9"/>
      <c r="H6" s="10">
        <v>-3.5556358333056348</v>
      </c>
      <c r="I6" s="10">
        <v>0.4</v>
      </c>
      <c r="J6" s="10">
        <f t="shared" si="3"/>
        <v>0.29481907844145605</v>
      </c>
    </row>
    <row r="7" spans="1:10" ht="15.6">
      <c r="A7" s="9" t="s">
        <v>129</v>
      </c>
      <c r="B7" s="28">
        <v>45753</v>
      </c>
      <c r="C7">
        <f t="shared" si="0"/>
        <v>2025</v>
      </c>
      <c r="D7" s="9" t="str">
        <f t="shared" si="1"/>
        <v>Sunday</v>
      </c>
      <c r="E7" s="9" t="str">
        <f t="shared" si="2"/>
        <v>April</v>
      </c>
      <c r="F7" s="10">
        <v>3.3802942763097135</v>
      </c>
      <c r="G7" s="9"/>
      <c r="H7" s="10">
        <v>-3.17</v>
      </c>
      <c r="I7" s="10">
        <v>0.3</v>
      </c>
      <c r="J7" s="10">
        <f t="shared" si="3"/>
        <v>0.51029427630971358</v>
      </c>
    </row>
    <row r="8" spans="1:10" ht="15.6" hidden="1" outlineLevel="1">
      <c r="A8" s="9" t="s">
        <v>129</v>
      </c>
      <c r="B8" s="28">
        <v>45760</v>
      </c>
      <c r="C8">
        <f t="shared" si="0"/>
        <v>2025</v>
      </c>
      <c r="D8" s="9" t="str">
        <f t="shared" si="1"/>
        <v>Sunday</v>
      </c>
      <c r="E8" s="9" t="str">
        <f t="shared" si="2"/>
        <v>April</v>
      </c>
      <c r="F8" s="10">
        <v>3.4536514707062027</v>
      </c>
      <c r="G8" s="9"/>
      <c r="H8" s="10">
        <v>-3.17</v>
      </c>
      <c r="I8" s="10">
        <v>0.3</v>
      </c>
      <c r="J8" s="10">
        <f t="shared" si="3"/>
        <v>0.58365147070620282</v>
      </c>
    </row>
    <row r="9" spans="1:10" ht="15.6" collapsed="1">
      <c r="A9" s="9" t="s">
        <v>130</v>
      </c>
      <c r="B9" s="28">
        <v>45760</v>
      </c>
      <c r="C9">
        <f t="shared" si="0"/>
        <v>2025</v>
      </c>
      <c r="D9" s="9" t="str">
        <f t="shared" si="1"/>
        <v>Sunday</v>
      </c>
      <c r="E9" s="9" t="str">
        <f t="shared" si="2"/>
        <v>April</v>
      </c>
      <c r="F9" s="10">
        <v>3.1082844986822424</v>
      </c>
      <c r="G9" s="9"/>
      <c r="H9" s="10">
        <v>1.92</v>
      </c>
      <c r="I9" s="10">
        <v>-0.5</v>
      </c>
      <c r="J9" s="10">
        <f t="shared" si="3"/>
        <v>4.5282844986822424</v>
      </c>
    </row>
    <row r="10" spans="1:10" ht="15.6">
      <c r="A10" s="9" t="s">
        <v>130</v>
      </c>
      <c r="B10" s="28">
        <v>45767</v>
      </c>
      <c r="C10">
        <f t="shared" si="0"/>
        <v>2025</v>
      </c>
      <c r="D10" s="9" t="str">
        <f t="shared" si="1"/>
        <v>Sunday</v>
      </c>
      <c r="E10" s="9" t="str">
        <f t="shared" si="2"/>
        <v>April</v>
      </c>
      <c r="F10" s="10">
        <v>3.1082844986822424</v>
      </c>
      <c r="G10" s="9"/>
      <c r="H10" s="10">
        <v>1.92</v>
      </c>
      <c r="I10" s="10">
        <v>-0.5</v>
      </c>
      <c r="J10" s="10">
        <f t="shared" si="3"/>
        <v>4.5282844986822424</v>
      </c>
    </row>
    <row r="11" spans="1:10" ht="15.6">
      <c r="A11" s="9" t="s">
        <v>130</v>
      </c>
      <c r="B11" s="28">
        <v>45774</v>
      </c>
      <c r="C11">
        <f t="shared" si="0"/>
        <v>2025</v>
      </c>
      <c r="D11" s="9" t="str">
        <f t="shared" si="1"/>
        <v>Sunday</v>
      </c>
      <c r="E11" s="9" t="str">
        <f t="shared" si="2"/>
        <v>April</v>
      </c>
      <c r="F11" s="10">
        <v>3.1082844986822424</v>
      </c>
      <c r="G11" s="9"/>
      <c r="H11" s="10">
        <v>1.92</v>
      </c>
      <c r="I11" s="10">
        <v>-0.5</v>
      </c>
      <c r="J11" s="10">
        <f t="shared" si="3"/>
        <v>4.5282844986822424</v>
      </c>
    </row>
    <row r="12" spans="1:10" ht="15.6">
      <c r="A12" s="9" t="s">
        <v>130</v>
      </c>
      <c r="B12" s="28">
        <v>45781</v>
      </c>
      <c r="C12">
        <f t="shared" si="0"/>
        <v>2025</v>
      </c>
      <c r="D12" s="9" t="str">
        <f t="shared" si="1"/>
        <v>Sunday</v>
      </c>
      <c r="E12" s="9" t="str">
        <f t="shared" si="2"/>
        <v>May</v>
      </c>
      <c r="F12" s="10">
        <v>3.3259774626399015</v>
      </c>
      <c r="G12" s="9"/>
      <c r="H12" s="10">
        <v>1.92</v>
      </c>
      <c r="I12" s="10">
        <v>-0.5</v>
      </c>
      <c r="J12" s="10">
        <f t="shared" si="3"/>
        <v>4.7459774626399014</v>
      </c>
    </row>
    <row r="13" spans="1:10" ht="15.6">
      <c r="A13" s="9" t="s">
        <v>130</v>
      </c>
      <c r="B13" s="28">
        <v>45788</v>
      </c>
      <c r="C13">
        <f t="shared" si="0"/>
        <v>2025</v>
      </c>
      <c r="D13" s="9" t="str">
        <f t="shared" si="1"/>
        <v>Sunday</v>
      </c>
      <c r="E13" s="9" t="str">
        <f t="shared" si="2"/>
        <v>May</v>
      </c>
      <c r="F13" s="10">
        <v>3.3259774626399015</v>
      </c>
      <c r="G13" s="9"/>
      <c r="H13" s="10">
        <v>1.92</v>
      </c>
      <c r="I13" s="10">
        <v>-0.5</v>
      </c>
      <c r="J13" s="10">
        <f t="shared" si="3"/>
        <v>4.7459774626399014</v>
      </c>
    </row>
    <row r="14" spans="1:10" ht="15.6">
      <c r="A14" s="9" t="s">
        <v>130</v>
      </c>
      <c r="B14" s="28">
        <v>45795</v>
      </c>
      <c r="C14">
        <f t="shared" si="0"/>
        <v>2025</v>
      </c>
      <c r="D14" s="9" t="str">
        <f t="shared" si="1"/>
        <v>Sunday</v>
      </c>
      <c r="E14" s="9" t="str">
        <f t="shared" si="2"/>
        <v>May</v>
      </c>
      <c r="F14" s="10">
        <v>3.3259774626399015</v>
      </c>
      <c r="G14" s="9"/>
      <c r="H14" s="10">
        <v>1.92</v>
      </c>
      <c r="I14" s="10">
        <v>-0.5</v>
      </c>
      <c r="J14" s="10">
        <f t="shared" si="3"/>
        <v>4.7459774626399014</v>
      </c>
    </row>
    <row r="15" spans="1:10" ht="15.6">
      <c r="A15" s="9" t="s">
        <v>130</v>
      </c>
      <c r="B15" s="28">
        <v>45802</v>
      </c>
      <c r="C15">
        <f t="shared" si="0"/>
        <v>2025</v>
      </c>
      <c r="D15" s="9" t="str">
        <f t="shared" si="1"/>
        <v>Sunday</v>
      </c>
      <c r="E15" s="9" t="str">
        <f t="shared" si="2"/>
        <v>May</v>
      </c>
      <c r="F15" s="10">
        <v>3.3259774626399015</v>
      </c>
      <c r="G15" s="9"/>
      <c r="H15" s="10">
        <v>1.92</v>
      </c>
      <c r="I15" s="10">
        <v>-0.5</v>
      </c>
      <c r="J15" s="10">
        <f t="shared" si="3"/>
        <v>4.7459774626399014</v>
      </c>
    </row>
    <row r="16" spans="1:10" ht="15.6">
      <c r="A16" s="9" t="s">
        <v>130</v>
      </c>
      <c r="B16" s="28">
        <v>45809</v>
      </c>
      <c r="C16">
        <f t="shared" si="0"/>
        <v>2025</v>
      </c>
      <c r="D16" s="9" t="str">
        <f t="shared" si="1"/>
        <v>Sunday</v>
      </c>
      <c r="E16" s="9" t="str">
        <f t="shared" si="2"/>
        <v>June</v>
      </c>
      <c r="F16" s="10">
        <v>3.3259774626399015</v>
      </c>
      <c r="G16" s="9"/>
      <c r="H16" s="10">
        <v>3.3</v>
      </c>
      <c r="I16" s="10">
        <v>-0.7</v>
      </c>
      <c r="J16" s="10">
        <f t="shared" si="3"/>
        <v>5.9259774626399011</v>
      </c>
    </row>
    <row r="17" spans="1:11" ht="15.6">
      <c r="A17" s="9" t="s">
        <v>130</v>
      </c>
      <c r="B17" s="28">
        <v>45816</v>
      </c>
      <c r="C17">
        <f t="shared" si="0"/>
        <v>2025</v>
      </c>
      <c r="D17" s="9" t="str">
        <f t="shared" si="1"/>
        <v>Sunday</v>
      </c>
      <c r="E17" s="9" t="str">
        <f t="shared" si="2"/>
        <v>June</v>
      </c>
      <c r="F17" s="10">
        <v>3.3259774626399015</v>
      </c>
      <c r="G17" s="9"/>
      <c r="H17" s="10">
        <v>3.34</v>
      </c>
      <c r="I17" s="10">
        <v>-1.2</v>
      </c>
      <c r="J17" s="10">
        <f t="shared" si="3"/>
        <v>5.4659774626399011</v>
      </c>
    </row>
    <row r="18" spans="1:11" ht="15.6">
      <c r="A18" s="9" t="s">
        <v>130</v>
      </c>
      <c r="B18" s="28">
        <v>45823</v>
      </c>
      <c r="C18">
        <f t="shared" si="0"/>
        <v>2025</v>
      </c>
      <c r="D18" s="9" t="str">
        <f t="shared" si="1"/>
        <v>Sunday</v>
      </c>
      <c r="E18" s="9" t="str">
        <f t="shared" si="2"/>
        <v>June</v>
      </c>
      <c r="F18" s="10">
        <v>3.3259774626399015</v>
      </c>
      <c r="G18" s="9"/>
      <c r="H18" s="10">
        <v>3.34</v>
      </c>
      <c r="I18" s="10">
        <v>-1.2</v>
      </c>
      <c r="J18" s="10">
        <f t="shared" si="3"/>
        <v>5.4659774626399011</v>
      </c>
    </row>
    <row r="19" spans="1:11" ht="15.6">
      <c r="A19" s="9" t="s">
        <v>130</v>
      </c>
      <c r="B19" s="28">
        <v>45830</v>
      </c>
      <c r="C19">
        <f t="shared" si="0"/>
        <v>2025</v>
      </c>
      <c r="D19" s="9" t="str">
        <f t="shared" si="1"/>
        <v>Sunday</v>
      </c>
      <c r="E19" s="9" t="str">
        <f t="shared" si="2"/>
        <v>June</v>
      </c>
      <c r="F19" s="10">
        <v>3.3227848838188132</v>
      </c>
      <c r="G19" s="9"/>
      <c r="H19" s="10">
        <v>3.34</v>
      </c>
      <c r="I19" s="10">
        <v>-1.2</v>
      </c>
      <c r="J19" s="10">
        <f t="shared" si="3"/>
        <v>5.4627848838188129</v>
      </c>
    </row>
    <row r="20" spans="1:11" ht="15.6">
      <c r="A20" s="9" t="s">
        <v>130</v>
      </c>
      <c r="B20" s="28">
        <v>45837</v>
      </c>
      <c r="C20">
        <f t="shared" si="0"/>
        <v>2025</v>
      </c>
      <c r="D20" s="9" t="str">
        <f t="shared" si="1"/>
        <v>Sunday</v>
      </c>
      <c r="E20" s="9" t="str">
        <f t="shared" si="2"/>
        <v>June</v>
      </c>
      <c r="F20" s="10">
        <v>3.3227848838188132</v>
      </c>
      <c r="G20" s="9"/>
      <c r="H20" s="10">
        <v>3.84</v>
      </c>
      <c r="I20" s="10">
        <v>-2.2999999999999998</v>
      </c>
      <c r="J20" s="10">
        <f t="shared" si="3"/>
        <v>4.8627848838188132</v>
      </c>
    </row>
    <row r="21" spans="1:11" ht="15.6">
      <c r="A21" s="9" t="s">
        <v>130</v>
      </c>
      <c r="B21" s="28">
        <v>45844</v>
      </c>
      <c r="C21">
        <f t="shared" si="0"/>
        <v>2025</v>
      </c>
      <c r="D21" s="9" t="str">
        <f t="shared" si="1"/>
        <v>Sunday</v>
      </c>
      <c r="E21" s="9" t="str">
        <f t="shared" si="2"/>
        <v>July</v>
      </c>
      <c r="F21" s="10">
        <v>3.4568233572748204</v>
      </c>
      <c r="G21" s="9"/>
      <c r="H21" s="10">
        <v>3.87</v>
      </c>
      <c r="I21" s="10">
        <v>-2.2999999999999998</v>
      </c>
      <c r="J21" s="10">
        <f t="shared" si="3"/>
        <v>5.0268233572748207</v>
      </c>
    </row>
    <row r="22" spans="1:11" ht="15.6">
      <c r="A22" s="9" t="s">
        <v>130</v>
      </c>
      <c r="B22" s="28">
        <v>45851</v>
      </c>
      <c r="C22">
        <f t="shared" si="0"/>
        <v>2025</v>
      </c>
      <c r="D22" s="9" t="str">
        <f t="shared" si="1"/>
        <v>Sunday</v>
      </c>
      <c r="E22" s="9" t="str">
        <f t="shared" si="2"/>
        <v>July</v>
      </c>
      <c r="F22" s="10">
        <v>3.4568233572748204</v>
      </c>
      <c r="G22" s="9"/>
      <c r="H22" s="10">
        <v>3.67</v>
      </c>
      <c r="I22" s="10">
        <v>-2.81</v>
      </c>
      <c r="J22" s="10">
        <f t="shared" si="3"/>
        <v>4.3168233572748207</v>
      </c>
    </row>
    <row r="23" spans="1:11" ht="15.6">
      <c r="A23" s="9" t="s">
        <v>130</v>
      </c>
      <c r="B23" s="28">
        <v>45858</v>
      </c>
      <c r="C23">
        <f t="shared" si="0"/>
        <v>2025</v>
      </c>
      <c r="D23" s="9" t="str">
        <f t="shared" si="1"/>
        <v>Sunday</v>
      </c>
      <c r="E23" s="9" t="str">
        <f t="shared" si="2"/>
        <v>July</v>
      </c>
      <c r="F23" s="10">
        <v>3.6119489986359095</v>
      </c>
      <c r="G23" s="9"/>
      <c r="H23" s="10">
        <v>3.67</v>
      </c>
      <c r="I23" s="10">
        <v>-2.81</v>
      </c>
      <c r="J23" s="10">
        <f t="shared" si="3"/>
        <v>4.4719489986359093</v>
      </c>
    </row>
    <row r="24" spans="1:11" ht="15.6">
      <c r="A24" s="9" t="s">
        <v>130</v>
      </c>
      <c r="B24" s="28">
        <v>45865</v>
      </c>
      <c r="C24">
        <f t="shared" si="0"/>
        <v>2025</v>
      </c>
      <c r="D24" s="9" t="str">
        <f t="shared" si="1"/>
        <v>Sunday</v>
      </c>
      <c r="E24" s="9" t="str">
        <f t="shared" si="2"/>
        <v>July</v>
      </c>
      <c r="F24" s="10">
        <v>3.6119489986359095</v>
      </c>
      <c r="G24" s="9"/>
      <c r="H24" s="10">
        <v>3.67</v>
      </c>
      <c r="I24" s="10">
        <v>-2.81</v>
      </c>
      <c r="J24" s="10">
        <f t="shared" si="3"/>
        <v>4.4719489986359093</v>
      </c>
    </row>
    <row r="25" spans="1:11" ht="15.6" hidden="1" outlineLevel="1">
      <c r="A25" s="9" t="s">
        <v>130</v>
      </c>
      <c r="B25" s="28">
        <v>45872</v>
      </c>
      <c r="C25">
        <f t="shared" si="0"/>
        <v>2025</v>
      </c>
      <c r="D25" s="9" t="str">
        <f t="shared" si="1"/>
        <v>Sunday</v>
      </c>
      <c r="E25" s="9" t="str">
        <f t="shared" si="2"/>
        <v>August</v>
      </c>
      <c r="F25" s="10">
        <v>3.4113669805105582</v>
      </c>
      <c r="G25" s="9"/>
      <c r="H25" s="10">
        <v>3.67</v>
      </c>
      <c r="I25" s="10">
        <v>-2.81</v>
      </c>
      <c r="J25" s="10">
        <f t="shared" si="3"/>
        <v>4.2713669805105585</v>
      </c>
    </row>
    <row r="26" spans="1:11" ht="15.6" collapsed="1">
      <c r="A26" s="9" t="s">
        <v>131</v>
      </c>
      <c r="B26" s="28">
        <v>45872</v>
      </c>
      <c r="C26">
        <f t="shared" si="0"/>
        <v>2025</v>
      </c>
      <c r="D26" s="9" t="str">
        <f t="shared" si="1"/>
        <v>Sunday</v>
      </c>
      <c r="E26" s="9" t="str">
        <f t="shared" si="2"/>
        <v>August</v>
      </c>
      <c r="F26" s="10">
        <v>3.3033117891925983</v>
      </c>
      <c r="G26" s="9"/>
      <c r="H26" s="10">
        <v>0.73</v>
      </c>
      <c r="I26" s="10">
        <v>-1.53</v>
      </c>
      <c r="J26" s="10">
        <f t="shared" si="3"/>
        <v>2.5033117891925984</v>
      </c>
      <c r="K26" s="11"/>
    </row>
    <row r="27" spans="1:11" ht="15.6">
      <c r="A27" s="9" t="s">
        <v>131</v>
      </c>
      <c r="B27" s="28">
        <v>45879</v>
      </c>
      <c r="C27">
        <f t="shared" si="0"/>
        <v>2025</v>
      </c>
      <c r="D27" s="9" t="str">
        <f t="shared" si="1"/>
        <v>Sunday</v>
      </c>
      <c r="E27" s="9" t="str">
        <f t="shared" si="2"/>
        <v>August</v>
      </c>
      <c r="F27" s="10">
        <v>3.3033117891925983</v>
      </c>
      <c r="G27" s="9"/>
      <c r="H27" s="10">
        <v>0.61</v>
      </c>
      <c r="I27" s="10">
        <v>-1.53</v>
      </c>
      <c r="J27" s="10">
        <f t="shared" si="3"/>
        <v>2.3833117891925983</v>
      </c>
    </row>
    <row r="28" spans="1:11" ht="15.6">
      <c r="A28" s="9" t="s">
        <v>131</v>
      </c>
      <c r="B28" s="28">
        <v>45886</v>
      </c>
      <c r="C28">
        <f t="shared" si="0"/>
        <v>2025</v>
      </c>
      <c r="D28" s="9" t="str">
        <f t="shared" si="1"/>
        <v>Sunday</v>
      </c>
      <c r="E28" s="9" t="str">
        <f t="shared" si="2"/>
        <v>August</v>
      </c>
      <c r="F28" s="10">
        <v>3.3033117891925983</v>
      </c>
      <c r="G28" s="9"/>
      <c r="H28" s="10">
        <v>0.61</v>
      </c>
      <c r="I28" s="10">
        <v>-1.53</v>
      </c>
      <c r="J28" s="10">
        <f t="shared" si="3"/>
        <v>2.3833117891925983</v>
      </c>
    </row>
    <row r="29" spans="1:11" ht="15.6">
      <c r="A29" s="9" t="s">
        <v>131</v>
      </c>
      <c r="B29" s="28">
        <v>45893</v>
      </c>
      <c r="C29">
        <f t="shared" si="0"/>
        <v>2025</v>
      </c>
      <c r="D29" s="9" t="str">
        <f t="shared" si="1"/>
        <v>Sunday</v>
      </c>
      <c r="E29" s="9" t="str">
        <f t="shared" si="2"/>
        <v>August</v>
      </c>
      <c r="F29" s="10">
        <v>3.3033117891925983</v>
      </c>
      <c r="G29" s="9"/>
      <c r="H29" s="10">
        <v>0.61</v>
      </c>
      <c r="I29" s="10">
        <v>-1.53</v>
      </c>
      <c r="J29" s="10">
        <f t="shared" si="3"/>
        <v>2.3833117891925983</v>
      </c>
    </row>
    <row r="30" spans="1:11" ht="15.6">
      <c r="A30" s="9" t="s">
        <v>131</v>
      </c>
      <c r="B30" s="28">
        <v>45900</v>
      </c>
      <c r="C30">
        <f t="shared" si="0"/>
        <v>2025</v>
      </c>
      <c r="D30" s="9" t="str">
        <f t="shared" si="1"/>
        <v>Sunday</v>
      </c>
      <c r="E30" s="9" t="str">
        <f t="shared" si="2"/>
        <v>August</v>
      </c>
      <c r="F30" s="10">
        <v>3.3033117891925983</v>
      </c>
      <c r="G30" s="9"/>
      <c r="H30" s="10">
        <v>-0.49</v>
      </c>
      <c r="I30" s="10">
        <v>-0.8</v>
      </c>
      <c r="J30" s="10">
        <f t="shared" si="3"/>
        <v>2.0133117891925982</v>
      </c>
    </row>
    <row r="31" spans="1:11" ht="15.6">
      <c r="A31" s="9" t="s">
        <v>131</v>
      </c>
      <c r="B31" s="28">
        <v>45907</v>
      </c>
      <c r="C31">
        <f t="shared" si="0"/>
        <v>2025</v>
      </c>
      <c r="D31" s="9" t="str">
        <f t="shared" si="1"/>
        <v>Sunday</v>
      </c>
      <c r="E31" s="9" t="str">
        <f t="shared" si="2"/>
        <v>September</v>
      </c>
      <c r="F31" s="10">
        <v>3.3033117891925983</v>
      </c>
      <c r="G31" s="9"/>
      <c r="H31" s="10">
        <v>-0.33</v>
      </c>
      <c r="I31" s="10">
        <v>-0.8</v>
      </c>
      <c r="J31" s="10">
        <f t="shared" si="3"/>
        <v>2.1733117891925984</v>
      </c>
    </row>
    <row r="32" spans="1:11" ht="15.6">
      <c r="A32" s="9" t="s">
        <v>131</v>
      </c>
      <c r="B32" s="28">
        <v>45914</v>
      </c>
      <c r="C32">
        <f t="shared" si="0"/>
        <v>2025</v>
      </c>
      <c r="D32" s="9" t="str">
        <f t="shared" si="1"/>
        <v>Sunday</v>
      </c>
      <c r="E32" s="9" t="str">
        <f t="shared" si="2"/>
        <v>September</v>
      </c>
      <c r="F32" s="10">
        <v>3.3033117891925983</v>
      </c>
      <c r="G32" s="9"/>
      <c r="H32" s="10">
        <v>-0.33</v>
      </c>
      <c r="I32" s="10">
        <v>-0.8</v>
      </c>
      <c r="J32" s="10">
        <f t="shared" si="3"/>
        <v>2.1733117891925984</v>
      </c>
    </row>
    <row r="33" spans="1:10" ht="15.6">
      <c r="A33" s="9" t="s">
        <v>131</v>
      </c>
      <c r="B33" s="28">
        <v>45921</v>
      </c>
      <c r="C33">
        <f t="shared" si="0"/>
        <v>2025</v>
      </c>
      <c r="D33" s="9" t="str">
        <f t="shared" si="1"/>
        <v>Sunday</v>
      </c>
      <c r="E33" s="9" t="str">
        <f t="shared" si="2"/>
        <v>September</v>
      </c>
      <c r="F33" s="10">
        <v>3.3033117891925983</v>
      </c>
      <c r="G33" s="9"/>
      <c r="H33" s="10">
        <v>-0.33</v>
      </c>
      <c r="I33" s="10">
        <v>-0.8</v>
      </c>
      <c r="J33" s="10">
        <f t="shared" si="3"/>
        <v>2.1733117891925984</v>
      </c>
    </row>
    <row r="34" spans="1:10" ht="15.6">
      <c r="A34" s="9" t="s">
        <v>131</v>
      </c>
      <c r="B34" s="28">
        <v>45928</v>
      </c>
      <c r="C34">
        <f t="shared" si="0"/>
        <v>2025</v>
      </c>
      <c r="D34" s="9" t="str">
        <f t="shared" si="1"/>
        <v>Sunday</v>
      </c>
      <c r="E34" s="9" t="str">
        <f t="shared" si="2"/>
        <v>September</v>
      </c>
      <c r="F34" s="10">
        <v>3.162313529407907</v>
      </c>
      <c r="G34" s="9"/>
      <c r="H34" s="10">
        <v>-0.33</v>
      </c>
      <c r="I34" s="10">
        <v>-0.8</v>
      </c>
      <c r="J34" s="10">
        <f t="shared" si="3"/>
        <v>2.0323135294079071</v>
      </c>
    </row>
    <row r="35" spans="1:10" ht="15.6">
      <c r="A35" s="9" t="s">
        <v>131</v>
      </c>
      <c r="B35" s="28">
        <v>45935</v>
      </c>
      <c r="C35">
        <f t="shared" si="0"/>
        <v>2025</v>
      </c>
      <c r="D35" s="9" t="str">
        <f t="shared" si="1"/>
        <v>Sunday</v>
      </c>
      <c r="E35" s="9" t="str">
        <f t="shared" si="2"/>
        <v>October</v>
      </c>
      <c r="F35" s="10">
        <v>3.1838083593907776</v>
      </c>
      <c r="G35" s="9"/>
      <c r="H35" s="10">
        <v>-0.33</v>
      </c>
      <c r="I35" s="10">
        <v>-0.52</v>
      </c>
      <c r="J35" s="10">
        <f t="shared" si="3"/>
        <v>2.3338083593907775</v>
      </c>
    </row>
    <row r="36" spans="1:10" ht="15.6">
      <c r="A36" s="9" t="s">
        <v>131</v>
      </c>
      <c r="B36" s="28">
        <v>45942</v>
      </c>
      <c r="C36">
        <f t="shared" si="0"/>
        <v>2025</v>
      </c>
      <c r="D36" s="9" t="str">
        <f t="shared" si="1"/>
        <v>Sunday</v>
      </c>
      <c r="E36" s="9" t="str">
        <f t="shared" si="2"/>
        <v>October</v>
      </c>
      <c r="F36" s="10">
        <v>3.1838083593907776</v>
      </c>
      <c r="G36" s="9"/>
      <c r="H36" s="10">
        <v>-0.33</v>
      </c>
      <c r="I36" s="10">
        <v>-0.52</v>
      </c>
      <c r="J36" s="10">
        <f t="shared" si="3"/>
        <v>2.3338083593907775</v>
      </c>
    </row>
    <row r="37" spans="1:10" ht="15.6">
      <c r="A37" s="9" t="s">
        <v>131</v>
      </c>
      <c r="B37" s="28">
        <v>45949</v>
      </c>
      <c r="C37">
        <f t="shared" si="0"/>
        <v>2025</v>
      </c>
      <c r="D37" s="9" t="str">
        <f t="shared" si="1"/>
        <v>Sunday</v>
      </c>
      <c r="E37" s="9" t="str">
        <f t="shared" si="2"/>
        <v>October</v>
      </c>
      <c r="F37" s="10">
        <v>3.2161237215506504</v>
      </c>
      <c r="G37" s="9"/>
      <c r="H37" s="10">
        <v>-0.33</v>
      </c>
      <c r="I37" s="10">
        <v>-0.52</v>
      </c>
      <c r="J37" s="10">
        <f t="shared" si="3"/>
        <v>2.3661237215506503</v>
      </c>
    </row>
    <row r="38" spans="1:10" ht="15.6">
      <c r="A38" s="9" t="s">
        <v>132</v>
      </c>
      <c r="B38" s="28">
        <v>45956</v>
      </c>
      <c r="C38">
        <f t="shared" si="0"/>
        <v>2025</v>
      </c>
      <c r="D38" s="9" t="str">
        <f t="shared" si="1"/>
        <v>Sunday</v>
      </c>
      <c r="E38" s="9" t="str">
        <f t="shared" si="2"/>
        <v>October</v>
      </c>
      <c r="F38" s="10">
        <v>3.2504129521988405</v>
      </c>
      <c r="G38" s="9"/>
      <c r="H38" s="10">
        <v>-0.33</v>
      </c>
      <c r="I38" s="10">
        <v>-0.18</v>
      </c>
      <c r="J38" s="10">
        <f t="shared" si="3"/>
        <v>2.7404129521988403</v>
      </c>
    </row>
    <row r="39" spans="1:10" ht="15.6">
      <c r="A39" s="9" t="s">
        <v>132</v>
      </c>
      <c r="B39" s="28">
        <v>45963</v>
      </c>
      <c r="C39">
        <f t="shared" si="0"/>
        <v>2025</v>
      </c>
      <c r="D39" s="9" t="str">
        <f t="shared" si="1"/>
        <v>Sunday</v>
      </c>
      <c r="E39" s="9" t="str">
        <f t="shared" si="2"/>
        <v>November</v>
      </c>
      <c r="F39" s="10">
        <v>3.2504129521988405</v>
      </c>
      <c r="G39" s="9"/>
      <c r="H39" s="10">
        <v>-0.33</v>
      </c>
      <c r="I39" s="10">
        <v>-0.18</v>
      </c>
      <c r="J39" s="10">
        <f t="shared" si="3"/>
        <v>2.7404129521988403</v>
      </c>
    </row>
    <row r="40" spans="1:10" ht="15.6">
      <c r="A40" s="9" t="s">
        <v>132</v>
      </c>
      <c r="B40" s="28">
        <v>45970</v>
      </c>
      <c r="C40">
        <f t="shared" ref="C40:C43" si="4">YEAR(B40)</f>
        <v>2025</v>
      </c>
      <c r="D40" s="9" t="str">
        <f t="shared" si="1"/>
        <v>Sunday</v>
      </c>
      <c r="E40" s="9" t="str">
        <f t="shared" si="2"/>
        <v>November</v>
      </c>
      <c r="F40" s="10">
        <v>3.2504129521988405</v>
      </c>
      <c r="G40" s="9"/>
      <c r="H40" s="10">
        <v>-0.33</v>
      </c>
      <c r="I40" s="10">
        <v>-0.18</v>
      </c>
      <c r="J40" s="10">
        <f t="shared" ref="J40" si="5">SUM(F40:I40)</f>
        <v>2.7404129521988403</v>
      </c>
    </row>
    <row r="41" spans="1:10" ht="15.6">
      <c r="A41" s="9" t="s">
        <v>132</v>
      </c>
      <c r="B41" s="28">
        <v>45977</v>
      </c>
      <c r="C41">
        <f t="shared" si="4"/>
        <v>2025</v>
      </c>
      <c r="D41" s="9" t="str">
        <f t="shared" si="1"/>
        <v>Sunday</v>
      </c>
      <c r="E41" s="9" t="str">
        <f t="shared" si="2"/>
        <v>November</v>
      </c>
      <c r="F41" s="10">
        <v>3.2504129521988405</v>
      </c>
      <c r="G41" s="9"/>
      <c r="H41" s="10">
        <v>-0.33</v>
      </c>
      <c r="I41" s="10">
        <v>-0.18</v>
      </c>
      <c r="J41" s="10">
        <f t="shared" ref="J41" si="6">SUM(F41:I41)</f>
        <v>2.7404129521988403</v>
      </c>
    </row>
    <row r="42" spans="1:10" ht="15.6">
      <c r="A42" s="9" t="s">
        <v>132</v>
      </c>
      <c r="B42" s="28">
        <v>45984</v>
      </c>
      <c r="C42">
        <f t="shared" si="4"/>
        <v>2025</v>
      </c>
      <c r="D42" s="9" t="str">
        <f t="shared" si="1"/>
        <v>Sunday</v>
      </c>
      <c r="E42" s="9" t="str">
        <f t="shared" si="2"/>
        <v>November</v>
      </c>
      <c r="F42" s="10">
        <v>3.2504129521988405</v>
      </c>
      <c r="G42" s="9"/>
      <c r="H42" s="10">
        <v>1.29</v>
      </c>
      <c r="I42" s="10">
        <v>0.36</v>
      </c>
      <c r="J42" s="10">
        <f>SUM(F42:I42)</f>
        <v>4.9004129521988409</v>
      </c>
    </row>
    <row r="43" spans="1:10" ht="15.6">
      <c r="A43" s="9" t="s">
        <v>132</v>
      </c>
      <c r="B43" s="28">
        <v>45991</v>
      </c>
      <c r="C43">
        <f t="shared" si="4"/>
        <v>2025</v>
      </c>
      <c r="D43" s="9" t="str">
        <f t="shared" si="1"/>
        <v>Sunday</v>
      </c>
      <c r="E43" s="9" t="str">
        <f t="shared" si="2"/>
        <v>November</v>
      </c>
      <c r="F43" s="10">
        <v>3.2504129521988405</v>
      </c>
      <c r="G43" s="9"/>
      <c r="H43" s="10">
        <v>1.29</v>
      </c>
      <c r="I43" s="10">
        <v>0.36</v>
      </c>
      <c r="J43" s="10">
        <f t="shared" ref="J43" si="7">SUM(F43:I43)</f>
        <v>4.9004129521988409</v>
      </c>
    </row>
    <row r="44" spans="1:10" ht="15.6">
      <c r="A44" s="9" t="s">
        <v>132</v>
      </c>
      <c r="B44" s="28">
        <v>45998</v>
      </c>
      <c r="C44">
        <f t="shared" ref="C44" si="8">YEAR(B44)</f>
        <v>2025</v>
      </c>
      <c r="D44" s="9" t="str">
        <f t="shared" si="1"/>
        <v>Sunday</v>
      </c>
      <c r="E44" s="9" t="str">
        <f t="shared" si="2"/>
        <v>December</v>
      </c>
      <c r="F44" s="10">
        <v>3.2504129521988405</v>
      </c>
      <c r="G44" s="9"/>
      <c r="H44" s="10">
        <v>1.29</v>
      </c>
      <c r="I44" s="10">
        <v>0.36</v>
      </c>
      <c r="J44" s="10">
        <f t="shared" ref="J44" si="9">SUM(F44:I44)</f>
        <v>4.9004129521988409</v>
      </c>
    </row>
    <row r="45" spans="1:10" ht="15.6">
      <c r="A45" s="9" t="s">
        <v>132</v>
      </c>
      <c r="B45" s="28">
        <v>46005</v>
      </c>
      <c r="C45">
        <f t="shared" ref="C45" si="10">YEAR(B45)</f>
        <v>2025</v>
      </c>
      <c r="D45" s="9" t="str">
        <f t="shared" si="1"/>
        <v>Sunday</v>
      </c>
      <c r="E45" s="9" t="str">
        <f t="shared" si="2"/>
        <v>December</v>
      </c>
      <c r="F45">
        <v>3.21</v>
      </c>
      <c r="G45" s="9"/>
      <c r="H45">
        <v>0.14000000000000001</v>
      </c>
      <c r="I45">
        <v>0.36</v>
      </c>
      <c r="J45">
        <f t="shared" ref="J45:J51" si="11">SUM(F45:I45)</f>
        <v>3.71</v>
      </c>
    </row>
    <row r="46" spans="1:10" ht="15.6">
      <c r="A46" s="9" t="s">
        <v>132</v>
      </c>
      <c r="B46" s="28">
        <v>46012</v>
      </c>
      <c r="C46">
        <f t="shared" ref="C46" si="12">YEAR(B46)</f>
        <v>2025</v>
      </c>
      <c r="D46" s="9" t="str">
        <f t="shared" si="1"/>
        <v>Sunday</v>
      </c>
      <c r="E46" s="9" t="str">
        <f t="shared" si="2"/>
        <v>December</v>
      </c>
      <c r="F46" s="10">
        <v>3.3</v>
      </c>
      <c r="G46" s="9"/>
      <c r="H46">
        <v>0.14000000000000001</v>
      </c>
      <c r="I46">
        <v>0.36</v>
      </c>
      <c r="J46" s="10">
        <f t="shared" si="11"/>
        <v>3.8</v>
      </c>
    </row>
    <row r="47" spans="1:10" ht="15.6">
      <c r="A47" s="9" t="s">
        <v>132</v>
      </c>
      <c r="B47" s="28">
        <v>46019</v>
      </c>
      <c r="C47">
        <f t="shared" ref="C47" si="13">YEAR(B47)</f>
        <v>2025</v>
      </c>
      <c r="D47" s="9" t="str">
        <f t="shared" si="1"/>
        <v>Sunday</v>
      </c>
      <c r="E47" s="9" t="str">
        <f t="shared" si="2"/>
        <v>December</v>
      </c>
      <c r="F47" s="36">
        <v>3.26</v>
      </c>
      <c r="G47" s="9"/>
      <c r="H47" s="36">
        <v>0.14000000000000001</v>
      </c>
      <c r="I47" s="36">
        <v>0.36</v>
      </c>
      <c r="J47" s="10">
        <f t="shared" si="11"/>
        <v>3.76</v>
      </c>
    </row>
    <row r="48" spans="1:10" ht="15.6">
      <c r="A48" s="9" t="s">
        <v>132</v>
      </c>
      <c r="B48" s="28">
        <v>46026</v>
      </c>
      <c r="C48">
        <f t="shared" ref="C48:C49" si="14">YEAR(B48)</f>
        <v>2026</v>
      </c>
      <c r="D48" s="9" t="str">
        <f t="shared" si="1"/>
        <v>Sunday</v>
      </c>
      <c r="E48" s="9" t="str">
        <f t="shared" si="2"/>
        <v>January</v>
      </c>
      <c r="F48" s="36">
        <v>3.28</v>
      </c>
      <c r="G48" s="9"/>
      <c r="H48" s="36">
        <v>0.14000000000000001</v>
      </c>
      <c r="I48" s="36">
        <v>0.76</v>
      </c>
      <c r="J48" s="10">
        <f t="shared" si="11"/>
        <v>4.18</v>
      </c>
    </row>
    <row r="49" spans="1:10" ht="15.6">
      <c r="A49" s="9" t="s">
        <v>132</v>
      </c>
      <c r="B49" s="28">
        <v>46033</v>
      </c>
      <c r="C49">
        <f t="shared" si="14"/>
        <v>2026</v>
      </c>
      <c r="D49" s="9" t="str">
        <f t="shared" si="1"/>
        <v>Sunday</v>
      </c>
      <c r="E49" s="9" t="str">
        <f t="shared" si="2"/>
        <v>January</v>
      </c>
      <c r="F49" s="40">
        <v>3.24</v>
      </c>
      <c r="G49" s="9"/>
      <c r="H49" s="41">
        <v>1.93</v>
      </c>
      <c r="I49" s="41">
        <v>0.75</v>
      </c>
      <c r="J49" s="10">
        <f t="shared" si="11"/>
        <v>5.92</v>
      </c>
    </row>
    <row r="50" spans="1:10" ht="15.6">
      <c r="A50" s="9" t="s">
        <v>132</v>
      </c>
      <c r="B50" s="28">
        <v>46040</v>
      </c>
      <c r="C50">
        <v>2026</v>
      </c>
      <c r="D50" s="9" t="str">
        <f t="shared" si="1"/>
        <v>Sunday</v>
      </c>
      <c r="E50" s="9" t="str">
        <f t="shared" si="2"/>
        <v>January</v>
      </c>
      <c r="F50" s="40">
        <v>3.1</v>
      </c>
      <c r="G50" s="9"/>
      <c r="H50" s="41">
        <v>1.93</v>
      </c>
      <c r="I50" s="41">
        <v>0.77</v>
      </c>
      <c r="J50" s="10">
        <f t="shared" si="11"/>
        <v>5.8000000000000007</v>
      </c>
    </row>
    <row r="51" spans="1:10" ht="15.75" customHeight="1">
      <c r="A51" s="9" t="s">
        <v>132</v>
      </c>
      <c r="B51" s="28">
        <v>46047</v>
      </c>
      <c r="C51">
        <v>2026</v>
      </c>
      <c r="D51" s="9" t="s">
        <v>142</v>
      </c>
      <c r="E51" s="9" t="s">
        <v>143</v>
      </c>
      <c r="F51" s="10">
        <v>3.3246859999999998</v>
      </c>
      <c r="G51" s="9"/>
      <c r="H51" s="41">
        <v>1.93</v>
      </c>
      <c r="I51" s="41">
        <v>0.77</v>
      </c>
      <c r="J51" s="10">
        <f t="shared" si="11"/>
        <v>6.0246859999999991</v>
      </c>
    </row>
    <row r="52" spans="1:10" ht="15.75" customHeight="1">
      <c r="A52" s="9" t="s">
        <v>132</v>
      </c>
      <c r="B52" s="28">
        <v>46054</v>
      </c>
      <c r="C52">
        <v>2026</v>
      </c>
      <c r="D52" s="9" t="s">
        <v>142</v>
      </c>
      <c r="E52" s="9" t="s">
        <v>144</v>
      </c>
      <c r="F52" s="10">
        <v>3.2574700000000001</v>
      </c>
      <c r="G52" s="46">
        <v>2.350606</v>
      </c>
      <c r="H52">
        <v>2.0499999999999998</v>
      </c>
      <c r="I52" s="41">
        <v>0.77</v>
      </c>
      <c r="J52" s="10">
        <f t="shared" ref="J52:J60" si="15">SUM(G52,H52,I52)</f>
        <v>5.1706059999999994</v>
      </c>
    </row>
    <row r="53" spans="1:10" ht="15.75" customHeight="1">
      <c r="A53" s="43" t="s">
        <v>133</v>
      </c>
      <c r="B53" s="44">
        <v>46061</v>
      </c>
      <c r="C53" s="45">
        <v>2026</v>
      </c>
      <c r="D53" s="43" t="s">
        <v>142</v>
      </c>
      <c r="E53" s="43" t="s">
        <v>144</v>
      </c>
      <c r="F53" s="45">
        <v>2.81</v>
      </c>
      <c r="G53" s="45">
        <v>2.62</v>
      </c>
      <c r="H53" s="45">
        <v>-1.73</v>
      </c>
      <c r="I53" s="45">
        <v>0.28000000000000003</v>
      </c>
      <c r="J53" s="10">
        <f t="shared" si="15"/>
        <v>1.1700000000000002</v>
      </c>
    </row>
    <row r="54" spans="1:10" ht="15.75" customHeight="1">
      <c r="A54" s="9" t="s">
        <v>133</v>
      </c>
      <c r="B54" s="28">
        <v>46068</v>
      </c>
      <c r="C54">
        <v>2026</v>
      </c>
      <c r="D54" s="9" t="str">
        <f t="shared" ref="D54:D60" si="16">TEXT($B54, "dddd")</f>
        <v>Sunday</v>
      </c>
      <c r="E54" s="9" t="s">
        <v>144</v>
      </c>
      <c r="F54" s="10">
        <v>2.9320729999999999</v>
      </c>
      <c r="G54" s="10">
        <v>2.6169889999999998</v>
      </c>
      <c r="H54">
        <v>-1.73</v>
      </c>
      <c r="I54" s="41">
        <v>0.18</v>
      </c>
      <c r="J54" s="10">
        <f t="shared" si="15"/>
        <v>1.0669889999999997</v>
      </c>
    </row>
    <row r="55" spans="1:10" ht="15.75" customHeight="1">
      <c r="A55" s="9" t="s">
        <v>133</v>
      </c>
      <c r="B55" s="28">
        <v>46075</v>
      </c>
      <c r="C55">
        <v>2026</v>
      </c>
      <c r="D55" s="9" t="str">
        <f t="shared" si="16"/>
        <v>Sunday</v>
      </c>
      <c r="E55" s="9" t="s">
        <v>144</v>
      </c>
      <c r="F55" s="36">
        <v>2.78</v>
      </c>
      <c r="G55" s="36">
        <v>2.59</v>
      </c>
      <c r="H55" s="36">
        <v>-1.1100000000000001</v>
      </c>
      <c r="I55" s="36">
        <v>0.18</v>
      </c>
      <c r="J55" s="10">
        <f t="shared" si="15"/>
        <v>1.6599999999999997</v>
      </c>
    </row>
    <row r="56" spans="1:10" ht="15.75" customHeight="1">
      <c r="A56" s="9" t="s">
        <v>133</v>
      </c>
      <c r="B56" s="28">
        <v>46082</v>
      </c>
      <c r="C56">
        <v>2026</v>
      </c>
      <c r="D56" s="9" t="str">
        <f t="shared" si="16"/>
        <v>Sunday</v>
      </c>
      <c r="E56" s="9" t="s">
        <v>145</v>
      </c>
      <c r="F56" s="10">
        <v>3.1010909999999998</v>
      </c>
      <c r="G56" s="10">
        <v>2.7382559999999998</v>
      </c>
      <c r="H56" s="36">
        <v>-0.61</v>
      </c>
      <c r="I56" s="36">
        <v>-0.15</v>
      </c>
      <c r="J56" s="10">
        <f t="shared" si="15"/>
        <v>1.978256</v>
      </c>
    </row>
    <row r="57" spans="1:10" ht="15.75" customHeight="1">
      <c r="A57" s="9" t="s">
        <v>133</v>
      </c>
      <c r="B57" s="28">
        <v>46089</v>
      </c>
      <c r="C57">
        <v>2026</v>
      </c>
      <c r="D57" s="9" t="str">
        <f t="shared" si="16"/>
        <v>Sunday</v>
      </c>
      <c r="E57" s="9" t="s">
        <v>145</v>
      </c>
      <c r="F57" s="10">
        <v>2.9007909999999999</v>
      </c>
      <c r="G57" s="10">
        <v>2.6615419999999999</v>
      </c>
      <c r="H57" s="36">
        <v>-0.61</v>
      </c>
      <c r="I57" s="36">
        <v>-0.22</v>
      </c>
      <c r="J57" s="10">
        <f t="shared" si="15"/>
        <v>1.831542</v>
      </c>
    </row>
    <row r="58" spans="1:10" ht="15.75" customHeight="1">
      <c r="A58" s="9" t="s">
        <v>133</v>
      </c>
      <c r="B58" s="28">
        <v>46096</v>
      </c>
      <c r="C58">
        <v>2026</v>
      </c>
      <c r="D58" s="9" t="str">
        <f t="shared" si="16"/>
        <v>Sunday</v>
      </c>
      <c r="E58" s="9" t="s">
        <v>145</v>
      </c>
      <c r="F58" s="10">
        <v>3.0732970000000002</v>
      </c>
      <c r="G58" s="10">
        <v>2.6661440000000001</v>
      </c>
      <c r="H58" s="36">
        <v>-0.23</v>
      </c>
      <c r="I58" s="36">
        <v>-0.22</v>
      </c>
      <c r="J58" s="10">
        <f t="shared" si="15"/>
        <v>2.2161439999999999</v>
      </c>
    </row>
    <row r="59" spans="1:10" ht="15.75" customHeight="1">
      <c r="A59" s="9" t="s">
        <v>133</v>
      </c>
      <c r="B59" s="28">
        <v>46103</v>
      </c>
      <c r="C59">
        <v>2026</v>
      </c>
      <c r="D59" s="9" t="str">
        <f t="shared" si="16"/>
        <v>Sunday</v>
      </c>
      <c r="E59" s="9" t="s">
        <v>145</v>
      </c>
      <c r="F59" s="10">
        <v>3.0723660000000002</v>
      </c>
      <c r="G59" s="10">
        <v>2.6453359999999999</v>
      </c>
      <c r="H59" s="36">
        <v>-0.23</v>
      </c>
      <c r="I59" s="36">
        <v>-0.22</v>
      </c>
      <c r="J59" s="10">
        <f t="shared" si="15"/>
        <v>2.1953359999999997</v>
      </c>
    </row>
    <row r="60" spans="1:10" ht="15.75" customHeight="1">
      <c r="A60" s="9" t="s">
        <v>133</v>
      </c>
      <c r="B60" s="28">
        <v>46110</v>
      </c>
      <c r="C60">
        <v>2026</v>
      </c>
      <c r="D60" s="9" t="str">
        <f t="shared" si="16"/>
        <v>Sunday</v>
      </c>
      <c r="E60" s="9" t="s">
        <v>145</v>
      </c>
      <c r="F60" s="10">
        <v>3.0723660000000002</v>
      </c>
      <c r="G60" s="10">
        <v>2.6453359999999999</v>
      </c>
      <c r="H60" s="36">
        <v>-0.23</v>
      </c>
      <c r="I60" s="36">
        <v>-0.22</v>
      </c>
      <c r="J60" s="10">
        <f>SUM(G60,H60,I60)</f>
        <v>2.1953359999999997</v>
      </c>
    </row>
  </sheetData>
  <phoneticPr fontId="2" type="noConversion"/>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56FE5-B562-CE46-B2E5-A64A40826F80}">
  <sheetPr>
    <tabColor theme="4"/>
    <pageSetUpPr fitToPage="1"/>
  </sheetPr>
  <dimension ref="A1:H33"/>
  <sheetViews>
    <sheetView showGridLines="0" zoomScale="130" zoomScaleNormal="130" workbookViewId="0">
      <selection activeCell="D10" sqref="D10"/>
    </sheetView>
  </sheetViews>
  <sheetFormatPr defaultColWidth="11" defaultRowHeight="15.75" customHeight="1"/>
  <cols>
    <col min="1" max="8" width="15.875" customWidth="1"/>
  </cols>
  <sheetData>
    <row r="1" spans="1:8" ht="15.95" customHeight="1">
      <c r="A1" s="11"/>
    </row>
    <row r="3" spans="1:8" ht="15.95" customHeight="1">
      <c r="B3" s="70" t="s">
        <v>146</v>
      </c>
      <c r="C3" s="70"/>
      <c r="D3" s="70"/>
      <c r="E3" s="70"/>
    </row>
    <row r="4" spans="1:8" ht="15.95" customHeight="1">
      <c r="B4" s="71" t="str">
        <f>"As of Market Close on March 20, 2026"</f>
        <v>As of Market Close on March 20, 2026</v>
      </c>
      <c r="C4" s="71"/>
      <c r="D4" s="71"/>
      <c r="E4" s="71"/>
    </row>
    <row r="6" spans="1:8" ht="33.950000000000003" customHeight="1">
      <c r="B6" s="7" t="s">
        <v>147</v>
      </c>
      <c r="C6" s="8" t="s">
        <v>148</v>
      </c>
      <c r="D6" s="8" t="s">
        <v>149</v>
      </c>
      <c r="E6" s="7" t="s">
        <v>150</v>
      </c>
    </row>
    <row r="7" spans="1:8" ht="15.75" customHeight="1">
      <c r="B7" s="52" t="s">
        <v>151</v>
      </c>
      <c r="C7" s="55">
        <v>155.00983969075546</v>
      </c>
      <c r="D7" s="55">
        <v>135.29</v>
      </c>
      <c r="E7" s="56">
        <v>-0.12721669624390641</v>
      </c>
    </row>
    <row r="8" spans="1:8" ht="15.95" customHeight="1">
      <c r="A8" s="34"/>
      <c r="B8" s="53" t="s">
        <v>152</v>
      </c>
      <c r="C8" s="55">
        <v>53.259343608237394</v>
      </c>
      <c r="D8" s="55">
        <v>49.08</v>
      </c>
      <c r="E8" s="56">
        <v>-7.8471556821646526E-2</v>
      </c>
      <c r="F8" s="5"/>
      <c r="G8" s="5"/>
      <c r="H8" s="5"/>
    </row>
    <row r="9" spans="1:8" ht="15.95" customHeight="1">
      <c r="A9" s="34"/>
      <c r="B9" s="53" t="s">
        <v>153</v>
      </c>
      <c r="C9" s="55">
        <v>155.69931963184035</v>
      </c>
      <c r="D9" s="55">
        <v>161.66999999999999</v>
      </c>
      <c r="E9" s="56">
        <v>3.8347504550936051E-2</v>
      </c>
      <c r="F9" s="5"/>
      <c r="G9" s="5"/>
      <c r="H9" s="5"/>
    </row>
    <row r="10" spans="1:8" ht="15.95" customHeight="1">
      <c r="A10" s="34"/>
      <c r="B10" s="53" t="s">
        <v>154</v>
      </c>
      <c r="C10" s="55">
        <v>43.431207721094104</v>
      </c>
      <c r="D10" s="55">
        <v>40.590000000000003</v>
      </c>
      <c r="E10" s="56">
        <v>-6.5418575033412085E-2</v>
      </c>
      <c r="F10" s="37"/>
      <c r="G10" s="5" t="s">
        <v>155</v>
      </c>
      <c r="H10" s="5"/>
    </row>
    <row r="11" spans="1:8" ht="15.95" customHeight="1">
      <c r="A11" s="34"/>
      <c r="B11" s="53" t="s">
        <v>156</v>
      </c>
      <c r="C11" s="55">
        <v>652.43190615553249</v>
      </c>
      <c r="D11" s="55">
        <v>648.57000000000005</v>
      </c>
      <c r="E11" s="56">
        <v>-5.9192478465511789E-3</v>
      </c>
      <c r="F11" s="39"/>
      <c r="G11" s="5"/>
      <c r="H11" s="5"/>
    </row>
    <row r="12" spans="1:8" ht="15.95" customHeight="1">
      <c r="A12" s="34"/>
      <c r="B12" s="53" t="s">
        <v>157</v>
      </c>
      <c r="C12" s="55">
        <v>644.6532463162124</v>
      </c>
      <c r="D12" s="55">
        <v>582.05999999999995</v>
      </c>
      <c r="E12" s="56">
        <v>-9.7095991796975256E-2</v>
      </c>
      <c r="F12" s="5"/>
      <c r="G12" s="5"/>
      <c r="H12" s="5"/>
    </row>
    <row r="13" spans="1:8" ht="15.75" customHeight="1">
      <c r="B13" s="53" t="s">
        <v>158</v>
      </c>
      <c r="C13" s="55">
        <v>508.07265633680055</v>
      </c>
      <c r="D13" s="55">
        <v>455.89</v>
      </c>
      <c r="E13" s="56">
        <v>-0.10270707483657371</v>
      </c>
      <c r="F13" s="6"/>
    </row>
    <row r="14" spans="1:8" ht="15.75" customHeight="1">
      <c r="B14" s="36" t="s">
        <v>159</v>
      </c>
      <c r="C14" s="55">
        <v>269.23842675116657</v>
      </c>
      <c r="D14" s="55">
        <v>242.22</v>
      </c>
      <c r="E14" s="56">
        <v>-0.10035130229065459</v>
      </c>
      <c r="F14" s="6"/>
    </row>
    <row r="15" spans="1:8" ht="15.75" customHeight="1">
      <c r="B15" s="53" t="s">
        <v>160</v>
      </c>
      <c r="C15" s="55">
        <v>376.3541130616756</v>
      </c>
      <c r="D15" s="55">
        <v>368.52</v>
      </c>
      <c r="E15" s="57">
        <v>-2.0815802962652397E-2</v>
      </c>
    </row>
    <row r="16" spans="1:8" ht="15.95" customHeight="1"/>
    <row r="17" spans="2:8" ht="15.95" customHeight="1">
      <c r="B17" s="70" t="s">
        <v>161</v>
      </c>
      <c r="C17" s="70"/>
      <c r="D17" s="70"/>
      <c r="E17" s="70"/>
    </row>
    <row r="18" spans="2:8" ht="15.6">
      <c r="B18" s="71" t="str">
        <f>B4</f>
        <v>As of Market Close on March 20, 2026</v>
      </c>
      <c r="C18" s="71"/>
      <c r="D18" s="71"/>
      <c r="E18" s="71"/>
    </row>
    <row r="19" spans="2:8" ht="15" customHeight="1"/>
    <row r="20" spans="2:8" ht="33.75" customHeight="1">
      <c r="B20" s="7" t="s">
        <v>147</v>
      </c>
      <c r="C20" s="8" t="s">
        <v>148</v>
      </c>
      <c r="D20" s="8" t="s">
        <v>149</v>
      </c>
      <c r="E20" s="7" t="s">
        <v>150</v>
      </c>
    </row>
    <row r="21" spans="2:8">
      <c r="B21" t="s">
        <v>151</v>
      </c>
      <c r="C21" s="55">
        <v>142.84335386162564</v>
      </c>
      <c r="D21" s="55">
        <v>135.29</v>
      </c>
      <c r="E21" s="56">
        <v>-5.2878581028996896E-2</v>
      </c>
    </row>
    <row r="22" spans="2:8" ht="15.95" customHeight="1">
      <c r="B22" t="s">
        <v>152</v>
      </c>
      <c r="C22" s="55">
        <v>53.988994700016612</v>
      </c>
      <c r="D22" s="55">
        <v>49.08</v>
      </c>
      <c r="E22" s="56">
        <v>-9.0925840114135403E-2</v>
      </c>
      <c r="F22" s="5"/>
    </row>
    <row r="23" spans="2:8" ht="15.95" customHeight="1">
      <c r="B23" t="s">
        <v>153</v>
      </c>
      <c r="C23" s="55">
        <v>157.35153456573505</v>
      </c>
      <c r="D23" s="55">
        <v>161.66999999999999</v>
      </c>
      <c r="E23" s="56">
        <v>2.7444698560984637E-2</v>
      </c>
      <c r="F23" s="5"/>
    </row>
    <row r="24" spans="2:8" ht="15.95" customHeight="1">
      <c r="B24" t="s">
        <v>154</v>
      </c>
      <c r="C24" s="55">
        <v>44.733586450647238</v>
      </c>
      <c r="D24" s="55">
        <v>40.590000000000003</v>
      </c>
      <c r="E24" s="56">
        <v>-9.262808505682163E-2</v>
      </c>
      <c r="F24" s="5"/>
    </row>
    <row r="25" spans="2:8" ht="15.95" customHeight="1">
      <c r="B25" t="s">
        <v>156</v>
      </c>
      <c r="C25" s="55">
        <v>684.1262343396445</v>
      </c>
      <c r="D25" s="55">
        <v>648.57000000000005</v>
      </c>
      <c r="E25" s="56">
        <v>-5.1973206924253113E-2</v>
      </c>
      <c r="F25" s="5"/>
    </row>
    <row r="26" spans="2:8">
      <c r="B26" t="s">
        <v>157</v>
      </c>
      <c r="C26" s="55">
        <v>685.8915823977319</v>
      </c>
      <c r="D26" s="55">
        <v>582.05999999999995</v>
      </c>
      <c r="E26" s="56">
        <v>-0.15138191670870005</v>
      </c>
      <c r="F26" s="5"/>
    </row>
    <row r="27" spans="2:8">
      <c r="B27" t="s">
        <v>158</v>
      </c>
      <c r="C27" s="55">
        <v>512.8487717482484</v>
      </c>
      <c r="D27" s="55">
        <v>455.89</v>
      </c>
      <c r="E27" s="56">
        <v>-0.11106348476585381</v>
      </c>
      <c r="F27" s="5"/>
    </row>
    <row r="28" spans="2:8">
      <c r="B28" s="36" t="s">
        <v>159</v>
      </c>
      <c r="C28" s="55">
        <v>264.46428480616402</v>
      </c>
      <c r="D28" s="55">
        <v>242.22</v>
      </c>
      <c r="E28" s="56">
        <v>-8.411073284420123E-2</v>
      </c>
      <c r="F28" s="5"/>
      <c r="H28" s="30"/>
    </row>
    <row r="29" spans="2:8">
      <c r="B29" s="52" t="s">
        <v>160</v>
      </c>
      <c r="C29" s="55">
        <v>381.52087091404604</v>
      </c>
      <c r="D29" s="55">
        <v>368.52</v>
      </c>
      <c r="E29" s="56">
        <v>-3.4076434358357943E-2</v>
      </c>
    </row>
    <row r="30" spans="2:8" ht="15.75" customHeight="1">
      <c r="C30" s="35"/>
    </row>
    <row r="31" spans="2:8" ht="15.75" customHeight="1">
      <c r="C31" s="35"/>
    </row>
    <row r="32" spans="2:8">
      <c r="C32" s="35"/>
    </row>
    <row r="33" spans="3:3" ht="15.75" customHeight="1">
      <c r="C33" s="35"/>
    </row>
  </sheetData>
  <mergeCells count="4">
    <mergeCell ref="B3:E3"/>
    <mergeCell ref="B4:E4"/>
    <mergeCell ref="B17:E17"/>
    <mergeCell ref="B18:E18"/>
  </mergeCells>
  <pageMargins left="0.7" right="0.7" top="0.75" bottom="0.75" header="0.3" footer="0.3"/>
  <pageSetup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65E98-6771-AD4B-BA37-A923ABA65567}">
  <sheetPr>
    <tabColor theme="6"/>
  </sheetPr>
  <dimension ref="A1:G70"/>
  <sheetViews>
    <sheetView showGridLines="0" zoomScale="130" zoomScaleNormal="130" workbookViewId="0">
      <pane xSplit="4" ySplit="1" topLeftCell="E2" activePane="bottomRight" state="frozen"/>
      <selection pane="bottomRight" sqref="A1:G1"/>
      <selection pane="bottomLeft" activeCell="F57" sqref="F57"/>
      <selection pane="topRight" activeCell="F57" sqref="F57"/>
    </sheetView>
  </sheetViews>
  <sheetFormatPr defaultColWidth="10.875" defaultRowHeight="13.15"/>
  <cols>
    <col min="1" max="1" width="10.875" style="4"/>
    <col min="2" max="6" width="12.875" style="4" customWidth="1"/>
    <col min="7" max="7" width="12" style="4" bestFit="1" customWidth="1"/>
    <col min="8" max="16384" width="10.875" style="4"/>
  </cols>
  <sheetData>
    <row r="1" spans="1:7" ht="26.45">
      <c r="A1" s="12" t="s">
        <v>0</v>
      </c>
      <c r="B1" s="12" t="s">
        <v>24</v>
      </c>
      <c r="C1" s="12" t="s">
        <v>25</v>
      </c>
      <c r="D1" s="12" t="s">
        <v>26</v>
      </c>
      <c r="E1" s="13" t="s">
        <v>162</v>
      </c>
      <c r="F1" s="13" t="s">
        <v>163</v>
      </c>
      <c r="G1" s="15" t="s">
        <v>19</v>
      </c>
    </row>
    <row r="2" spans="1:7" ht="15.6">
      <c r="A2" s="3">
        <v>39814</v>
      </c>
      <c r="B2" s="4">
        <f>YEAR(A2)</f>
        <v>2009</v>
      </c>
      <c r="C2" s="4">
        <f>ROUNDUP(MONTH(A2)/3,0)</f>
        <v>1</v>
      </c>
      <c r="D2" s="4" t="str">
        <f>_xlfn.CONCAT(B2, " Q",C2)</f>
        <v>2009 Q1</v>
      </c>
      <c r="E2" s="14"/>
      <c r="F2" s="14"/>
    </row>
    <row r="3" spans="1:7">
      <c r="A3" s="3">
        <v>39904</v>
      </c>
      <c r="B3" s="4">
        <f t="shared" ref="B3:B65" si="0">YEAR(A3)</f>
        <v>2009</v>
      </c>
      <c r="C3" s="4">
        <f t="shared" ref="C3:C66" si="1">ROUNDUP(MONTH(A3)/3,0)</f>
        <v>2</v>
      </c>
      <c r="D3" s="4" t="str">
        <f t="shared" ref="D3:D66" si="2">_xlfn.CONCAT(B3, " Q",C3)</f>
        <v>2009 Q2</v>
      </c>
      <c r="E3" s="33">
        <v>-27821.333333333332</v>
      </c>
      <c r="F3" s="33"/>
    </row>
    <row r="4" spans="1:7">
      <c r="A4" s="3">
        <v>39995</v>
      </c>
      <c r="B4" s="4">
        <f t="shared" si="0"/>
        <v>2009</v>
      </c>
      <c r="C4" s="4">
        <f t="shared" si="1"/>
        <v>3</v>
      </c>
      <c r="D4" s="4" t="str">
        <f t="shared" si="2"/>
        <v>2009 Q3</v>
      </c>
      <c r="E4" s="33">
        <v>-33409.333333333336</v>
      </c>
      <c r="F4" s="31">
        <f t="shared" ref="F4:F67" si="3">(E4/E3)-1</f>
        <v>0.20085306239815992</v>
      </c>
    </row>
    <row r="5" spans="1:7">
      <c r="A5" s="3">
        <v>40087</v>
      </c>
      <c r="B5" s="4">
        <f t="shared" si="0"/>
        <v>2009</v>
      </c>
      <c r="C5" s="4">
        <f t="shared" si="1"/>
        <v>4</v>
      </c>
      <c r="D5" s="4" t="str">
        <f t="shared" si="2"/>
        <v>2009 Q4</v>
      </c>
      <c r="E5" s="33">
        <v>-37588.666666666664</v>
      </c>
      <c r="F5" s="31">
        <f t="shared" si="3"/>
        <v>0.12509478389272433</v>
      </c>
      <c r="G5" s="31">
        <v>-5.5451859220560784E-4</v>
      </c>
    </row>
    <row r="6" spans="1:7">
      <c r="A6" s="3">
        <v>40179</v>
      </c>
      <c r="B6" s="4">
        <f t="shared" si="0"/>
        <v>2010</v>
      </c>
      <c r="C6" s="4">
        <f t="shared" si="1"/>
        <v>1</v>
      </c>
      <c r="D6" s="4" t="str">
        <f t="shared" si="2"/>
        <v>2010 Q1</v>
      </c>
      <c r="E6" s="33">
        <v>-39839.666666666664</v>
      </c>
      <c r="F6" s="31">
        <f t="shared" si="3"/>
        <v>5.9885071741482276E-2</v>
      </c>
      <c r="G6" s="31">
        <v>1.6744982006007139E-3</v>
      </c>
    </row>
    <row r="7" spans="1:7">
      <c r="A7" s="3">
        <v>40269</v>
      </c>
      <c r="B7" s="4">
        <f t="shared" si="0"/>
        <v>2010</v>
      </c>
      <c r="C7" s="4">
        <f t="shared" si="1"/>
        <v>2</v>
      </c>
      <c r="D7" s="4" t="str">
        <f t="shared" si="2"/>
        <v>2010 Q2</v>
      </c>
      <c r="E7" s="33">
        <v>-43633.333333333336</v>
      </c>
      <c r="F7" s="31">
        <f t="shared" si="3"/>
        <v>9.5223353609049655E-2</v>
      </c>
      <c r="G7" s="31">
        <v>-7.2744449924896284E-3</v>
      </c>
    </row>
    <row r="8" spans="1:7">
      <c r="A8" s="3">
        <v>40360</v>
      </c>
      <c r="B8" s="4">
        <f t="shared" si="0"/>
        <v>2010</v>
      </c>
      <c r="C8" s="4">
        <f t="shared" si="1"/>
        <v>3</v>
      </c>
      <c r="D8" s="4" t="str">
        <f t="shared" si="2"/>
        <v>2010 Q3</v>
      </c>
      <c r="E8" s="33">
        <v>-43853.666666666664</v>
      </c>
      <c r="F8" s="31">
        <f t="shared" si="3"/>
        <v>5.0496562261266309E-3</v>
      </c>
      <c r="G8" s="31">
        <v>-1.090091135250832E-2</v>
      </c>
    </row>
    <row r="9" spans="1:7">
      <c r="A9" s="3">
        <v>40452</v>
      </c>
      <c r="B9" s="4">
        <f t="shared" si="0"/>
        <v>2010</v>
      </c>
      <c r="C9" s="4">
        <f t="shared" si="1"/>
        <v>4</v>
      </c>
      <c r="D9" s="4" t="str">
        <f t="shared" si="2"/>
        <v>2010 Q4</v>
      </c>
      <c r="E9" s="33">
        <v>-40368.666666666664</v>
      </c>
      <c r="F9" s="31">
        <f t="shared" si="3"/>
        <v>-7.946883954971462E-2</v>
      </c>
      <c r="G9" s="31">
        <v>-2.1142438686015076E-3</v>
      </c>
    </row>
    <row r="10" spans="1:7">
      <c r="A10" s="3">
        <v>40544</v>
      </c>
      <c r="B10" s="4">
        <f t="shared" si="0"/>
        <v>2011</v>
      </c>
      <c r="C10" s="4">
        <f t="shared" si="1"/>
        <v>1</v>
      </c>
      <c r="D10" s="4" t="str">
        <f t="shared" si="2"/>
        <v>2011 Q1</v>
      </c>
      <c r="E10" s="33">
        <v>-45729.333333333336</v>
      </c>
      <c r="F10" s="31">
        <f t="shared" si="3"/>
        <v>0.13279276006143381</v>
      </c>
      <c r="G10" s="31">
        <v>-4.5055772773109695E-3</v>
      </c>
    </row>
    <row r="11" spans="1:7">
      <c r="A11" s="3">
        <v>40634</v>
      </c>
      <c r="B11" s="4">
        <f t="shared" si="0"/>
        <v>2011</v>
      </c>
      <c r="C11" s="4">
        <f t="shared" si="1"/>
        <v>2</v>
      </c>
      <c r="D11" s="4" t="str">
        <f t="shared" si="2"/>
        <v>2011 Q2</v>
      </c>
      <c r="E11" s="33">
        <v>-46764</v>
      </c>
      <c r="F11" s="31">
        <f t="shared" si="3"/>
        <v>2.2625885645974897E-2</v>
      </c>
      <c r="G11" s="31">
        <v>8.9603681458575966E-3</v>
      </c>
    </row>
    <row r="12" spans="1:7">
      <c r="A12" s="3">
        <v>40725</v>
      </c>
      <c r="B12" s="4">
        <f t="shared" si="0"/>
        <v>2011</v>
      </c>
      <c r="C12" s="4">
        <f t="shared" si="1"/>
        <v>3</v>
      </c>
      <c r="D12" s="4" t="str">
        <f t="shared" si="2"/>
        <v>2011 Q3</v>
      </c>
      <c r="E12" s="33">
        <v>-44866.333333333336</v>
      </c>
      <c r="F12" s="31">
        <f t="shared" si="3"/>
        <v>-4.0579648162404114E-2</v>
      </c>
      <c r="G12" s="31">
        <v>1.0928014991917635E-2</v>
      </c>
    </row>
    <row r="13" spans="1:7">
      <c r="A13" s="3">
        <v>40817</v>
      </c>
      <c r="B13" s="4">
        <f t="shared" si="0"/>
        <v>2011</v>
      </c>
      <c r="C13" s="4">
        <f t="shared" si="1"/>
        <v>4</v>
      </c>
      <c r="D13" s="4" t="str">
        <f t="shared" si="2"/>
        <v>2011 Q4</v>
      </c>
      <c r="E13" s="33">
        <v>-47480.666666666664</v>
      </c>
      <c r="F13" s="31">
        <f t="shared" si="3"/>
        <v>5.8269377929999422E-2</v>
      </c>
      <c r="G13" s="31">
        <v>-7.5163760027880484E-3</v>
      </c>
    </row>
    <row r="14" spans="1:7">
      <c r="A14" s="3">
        <v>40909</v>
      </c>
      <c r="B14" s="4">
        <f t="shared" si="0"/>
        <v>2012</v>
      </c>
      <c r="C14" s="4">
        <f t="shared" si="1"/>
        <v>1</v>
      </c>
      <c r="D14" s="4" t="str">
        <f t="shared" si="2"/>
        <v>2012 Q1</v>
      </c>
      <c r="E14" s="33">
        <v>-47551.666666666664</v>
      </c>
      <c r="F14" s="31">
        <f t="shared" si="3"/>
        <v>1.4953454739472516E-3</v>
      </c>
      <c r="G14" s="31">
        <v>-6.4205642567516201E-4</v>
      </c>
    </row>
    <row r="15" spans="1:7">
      <c r="A15" s="3">
        <v>41000</v>
      </c>
      <c r="B15" s="4">
        <f t="shared" si="0"/>
        <v>2012</v>
      </c>
      <c r="C15" s="4">
        <f t="shared" si="1"/>
        <v>2</v>
      </c>
      <c r="D15" s="4" t="str">
        <f t="shared" si="2"/>
        <v>2012 Q2</v>
      </c>
      <c r="E15" s="33">
        <v>-44963</v>
      </c>
      <c r="F15" s="31">
        <f t="shared" si="3"/>
        <v>-5.443903122918925E-2</v>
      </c>
      <c r="G15" s="31">
        <v>7.4965740513408749E-3</v>
      </c>
    </row>
    <row r="16" spans="1:7">
      <c r="A16" s="3">
        <v>41091</v>
      </c>
      <c r="B16" s="4">
        <f t="shared" si="0"/>
        <v>2012</v>
      </c>
      <c r="C16" s="4">
        <f t="shared" si="1"/>
        <v>3</v>
      </c>
      <c r="D16" s="4" t="str">
        <f t="shared" si="2"/>
        <v>2012 Q3</v>
      </c>
      <c r="E16" s="33">
        <v>-41743.333333333336</v>
      </c>
      <c r="F16" s="31">
        <f t="shared" si="3"/>
        <v>-7.1607025035399396E-2</v>
      </c>
      <c r="G16" s="31">
        <v>4.0631814163987357E-3</v>
      </c>
    </row>
    <row r="17" spans="1:7">
      <c r="A17" s="3">
        <v>41183</v>
      </c>
      <c r="B17" s="4">
        <f t="shared" si="0"/>
        <v>2012</v>
      </c>
      <c r="C17" s="4">
        <f t="shared" si="1"/>
        <v>4</v>
      </c>
      <c r="D17" s="4" t="str">
        <f t="shared" si="2"/>
        <v>2012 Q4</v>
      </c>
      <c r="E17" s="33">
        <v>-41044.333333333336</v>
      </c>
      <c r="F17" s="31">
        <f t="shared" si="3"/>
        <v>-1.6745188852511417E-2</v>
      </c>
      <c r="G17" s="31">
        <v>-4.5014002787747507E-3</v>
      </c>
    </row>
    <row r="18" spans="1:7">
      <c r="A18" s="3">
        <v>41275</v>
      </c>
      <c r="B18" s="4">
        <f t="shared" si="0"/>
        <v>2013</v>
      </c>
      <c r="C18" s="4">
        <f t="shared" si="1"/>
        <v>1</v>
      </c>
      <c r="D18" s="4" t="str">
        <f t="shared" si="2"/>
        <v>2013 Q1</v>
      </c>
      <c r="E18" s="33">
        <v>-38484.333333333336</v>
      </c>
      <c r="F18" s="31">
        <f t="shared" si="3"/>
        <v>-6.2371581947974986E-2</v>
      </c>
      <c r="G18" s="31">
        <v>9.9431747746340331E-3</v>
      </c>
    </row>
    <row r="19" spans="1:7">
      <c r="A19" s="3">
        <v>41365</v>
      </c>
      <c r="B19" s="4">
        <f t="shared" si="0"/>
        <v>2013</v>
      </c>
      <c r="C19" s="4">
        <f t="shared" si="1"/>
        <v>2</v>
      </c>
      <c r="D19" s="4" t="str">
        <f t="shared" si="2"/>
        <v>2013 Q2</v>
      </c>
      <c r="E19" s="33">
        <v>-38204.666666666664</v>
      </c>
      <c r="F19" s="31">
        <f t="shared" si="3"/>
        <v>-7.2670264090149983E-3</v>
      </c>
      <c r="G19" s="31">
        <v>-9.1914037172283018E-4</v>
      </c>
    </row>
    <row r="20" spans="1:7">
      <c r="A20" s="3">
        <v>41456</v>
      </c>
      <c r="B20" s="4">
        <f t="shared" si="0"/>
        <v>2013</v>
      </c>
      <c r="C20" s="4">
        <f t="shared" si="1"/>
        <v>3</v>
      </c>
      <c r="D20" s="4" t="str">
        <f t="shared" si="2"/>
        <v>2013 Q3</v>
      </c>
      <c r="E20" s="33">
        <v>-37630</v>
      </c>
      <c r="F20" s="31">
        <f t="shared" si="3"/>
        <v>-1.5041792451183866E-2</v>
      </c>
      <c r="G20" s="31">
        <v>-4.4233593536218462E-3</v>
      </c>
    </row>
    <row r="21" spans="1:7">
      <c r="A21" s="3">
        <v>41548</v>
      </c>
      <c r="B21" s="4">
        <f t="shared" si="0"/>
        <v>2013</v>
      </c>
      <c r="C21" s="4">
        <f t="shared" si="1"/>
        <v>4</v>
      </c>
      <c r="D21" s="4" t="str">
        <f t="shared" si="2"/>
        <v>2013 Q4</v>
      </c>
      <c r="E21" s="33">
        <v>-34634.666666666664</v>
      </c>
      <c r="F21" s="31">
        <f t="shared" si="3"/>
        <v>-7.9599610240056795E-2</v>
      </c>
      <c r="G21" s="31">
        <v>4.4268519528192773E-3</v>
      </c>
    </row>
    <row r="22" spans="1:7">
      <c r="A22" s="3">
        <v>41640</v>
      </c>
      <c r="B22" s="4">
        <f t="shared" si="0"/>
        <v>2014</v>
      </c>
      <c r="C22" s="4">
        <f t="shared" si="1"/>
        <v>1</v>
      </c>
      <c r="D22" s="4" t="str">
        <f t="shared" si="2"/>
        <v>2014 Q1</v>
      </c>
      <c r="E22" s="33">
        <v>-40164</v>
      </c>
      <c r="F22" s="31">
        <f t="shared" si="3"/>
        <v>0.15964736680012326</v>
      </c>
      <c r="G22" s="31">
        <v>-7.2779090747305923E-3</v>
      </c>
    </row>
    <row r="23" spans="1:7">
      <c r="A23" s="3">
        <v>41730</v>
      </c>
      <c r="B23" s="4">
        <f t="shared" si="0"/>
        <v>2014</v>
      </c>
      <c r="C23" s="4">
        <f t="shared" si="1"/>
        <v>2</v>
      </c>
      <c r="D23" s="4" t="str">
        <f t="shared" si="2"/>
        <v>2014 Q2</v>
      </c>
      <c r="E23" s="33">
        <v>-40735</v>
      </c>
      <c r="F23" s="31">
        <f t="shared" si="3"/>
        <v>1.4216711482919919E-2</v>
      </c>
      <c r="G23" s="31">
        <v>-3.1622405779720957E-3</v>
      </c>
    </row>
    <row r="24" spans="1:7">
      <c r="A24" s="3">
        <v>41821</v>
      </c>
      <c r="B24" s="4">
        <f t="shared" si="0"/>
        <v>2014</v>
      </c>
      <c r="C24" s="4">
        <f t="shared" si="1"/>
        <v>3</v>
      </c>
      <c r="D24" s="4" t="str">
        <f t="shared" si="2"/>
        <v>2014 Q3</v>
      </c>
      <c r="E24" s="33">
        <v>-39180.666666666664</v>
      </c>
      <c r="F24" s="31">
        <f t="shared" si="3"/>
        <v>-3.8157194877460054E-2</v>
      </c>
      <c r="G24" s="31">
        <v>6.36343158174514E-4</v>
      </c>
    </row>
    <row r="25" spans="1:7">
      <c r="A25" s="3">
        <v>41913</v>
      </c>
      <c r="B25" s="4">
        <f t="shared" si="0"/>
        <v>2014</v>
      </c>
      <c r="C25" s="4">
        <f t="shared" si="1"/>
        <v>4</v>
      </c>
      <c r="D25" s="4" t="str">
        <f t="shared" si="2"/>
        <v>2014 Q4</v>
      </c>
      <c r="E25" s="33">
        <v>-41237.666666666664</v>
      </c>
      <c r="F25" s="31">
        <f t="shared" si="3"/>
        <v>5.2500382841877746E-2</v>
      </c>
      <c r="G25" s="31">
        <v>-5.6176719774095694E-3</v>
      </c>
    </row>
    <row r="26" spans="1:7">
      <c r="A26" s="3">
        <v>42005</v>
      </c>
      <c r="B26" s="4">
        <f t="shared" si="0"/>
        <v>2015</v>
      </c>
      <c r="C26" s="4">
        <f t="shared" si="1"/>
        <v>1</v>
      </c>
      <c r="D26" s="4" t="str">
        <f t="shared" si="2"/>
        <v>2015 Q1</v>
      </c>
      <c r="E26" s="33">
        <v>-40500</v>
      </c>
      <c r="F26" s="31">
        <f t="shared" si="3"/>
        <v>-1.7888176666962963E-2</v>
      </c>
      <c r="G26" s="31">
        <v>-7.3469854957367896E-3</v>
      </c>
    </row>
    <row r="27" spans="1:7">
      <c r="A27" s="3">
        <v>42095</v>
      </c>
      <c r="B27" s="4">
        <f t="shared" si="0"/>
        <v>2015</v>
      </c>
      <c r="C27" s="4">
        <f t="shared" si="1"/>
        <v>2</v>
      </c>
      <c r="D27" s="4" t="str">
        <f t="shared" si="2"/>
        <v>2015 Q2</v>
      </c>
      <c r="E27" s="33">
        <v>-40254.333333333336</v>
      </c>
      <c r="F27" s="31">
        <f t="shared" si="3"/>
        <v>-6.0658436213991695E-3</v>
      </c>
      <c r="G27" s="31">
        <v>-1.4455689947091156E-2</v>
      </c>
    </row>
    <row r="28" spans="1:7">
      <c r="A28" s="3">
        <v>42186</v>
      </c>
      <c r="B28" s="4">
        <f t="shared" si="0"/>
        <v>2015</v>
      </c>
      <c r="C28" s="4">
        <f t="shared" si="1"/>
        <v>3</v>
      </c>
      <c r="D28" s="4" t="str">
        <f t="shared" si="2"/>
        <v>2015 Q3</v>
      </c>
      <c r="E28" s="33">
        <v>-42062</v>
      </c>
      <c r="F28" s="31">
        <f t="shared" si="3"/>
        <v>4.4906138469564372E-2</v>
      </c>
      <c r="G28" s="31">
        <v>-7.3170950867127871E-3</v>
      </c>
    </row>
    <row r="29" spans="1:7">
      <c r="A29" s="3">
        <v>42278</v>
      </c>
      <c r="B29" s="4">
        <f t="shared" si="0"/>
        <v>2015</v>
      </c>
      <c r="C29" s="4">
        <f t="shared" si="1"/>
        <v>4</v>
      </c>
      <c r="D29" s="4" t="str">
        <f t="shared" si="2"/>
        <v>2015 Q4</v>
      </c>
      <c r="E29" s="33">
        <v>-40775.666666666664</v>
      </c>
      <c r="F29" s="31">
        <f t="shared" si="3"/>
        <v>-3.0581839506759967E-2</v>
      </c>
      <c r="G29" s="31">
        <v>-2.8742745630022928E-3</v>
      </c>
    </row>
    <row r="30" spans="1:7">
      <c r="A30" s="3">
        <v>42370</v>
      </c>
      <c r="B30" s="4">
        <f t="shared" si="0"/>
        <v>2016</v>
      </c>
      <c r="C30" s="4">
        <f t="shared" si="1"/>
        <v>1</v>
      </c>
      <c r="D30" s="4" t="str">
        <f t="shared" si="2"/>
        <v>2016 Q1</v>
      </c>
      <c r="E30" s="33">
        <v>-40050.333333333336</v>
      </c>
      <c r="F30" s="31">
        <f t="shared" si="3"/>
        <v>-1.7788386864714956E-2</v>
      </c>
      <c r="G30" s="31">
        <v>-3.526668018984885E-3</v>
      </c>
    </row>
    <row r="31" spans="1:7">
      <c r="A31" s="3">
        <v>42461</v>
      </c>
      <c r="B31" s="4">
        <f t="shared" si="0"/>
        <v>2016</v>
      </c>
      <c r="C31" s="4">
        <f t="shared" si="1"/>
        <v>2</v>
      </c>
      <c r="D31" s="4" t="str">
        <f t="shared" si="2"/>
        <v>2016 Q2</v>
      </c>
      <c r="E31" s="33">
        <v>-39599.666666666664</v>
      </c>
      <c r="F31" s="31">
        <f t="shared" si="3"/>
        <v>-1.1252507261695799E-2</v>
      </c>
      <c r="G31" s="31">
        <v>-1.2693088320695099E-3</v>
      </c>
    </row>
    <row r="32" spans="1:7">
      <c r="A32" s="3">
        <v>42552</v>
      </c>
      <c r="B32" s="4">
        <f t="shared" si="0"/>
        <v>2016</v>
      </c>
      <c r="C32" s="4">
        <f t="shared" si="1"/>
        <v>3</v>
      </c>
      <c r="D32" s="4" t="str">
        <f t="shared" si="2"/>
        <v>2016 Q3</v>
      </c>
      <c r="E32" s="33">
        <v>-39027</v>
      </c>
      <c r="F32" s="31">
        <f t="shared" si="3"/>
        <v>-1.4461401190245637E-2</v>
      </c>
      <c r="G32" s="31">
        <v>3.0429260345916209E-3</v>
      </c>
    </row>
    <row r="33" spans="1:7">
      <c r="A33" s="3">
        <v>42644</v>
      </c>
      <c r="B33" s="4">
        <f t="shared" si="0"/>
        <v>2016</v>
      </c>
      <c r="C33" s="4">
        <f t="shared" si="1"/>
        <v>4</v>
      </c>
      <c r="D33" s="4" t="str">
        <f t="shared" si="2"/>
        <v>2016 Q4</v>
      </c>
      <c r="E33" s="33">
        <v>-41142.333333333336</v>
      </c>
      <c r="F33" s="31">
        <f t="shared" si="3"/>
        <v>5.4201791921832054E-2</v>
      </c>
      <c r="G33" s="31">
        <v>-1.5101264005629722E-3</v>
      </c>
    </row>
    <row r="34" spans="1:7">
      <c r="A34" s="3">
        <v>42736</v>
      </c>
      <c r="B34" s="4">
        <f t="shared" si="0"/>
        <v>2017</v>
      </c>
      <c r="C34" s="4">
        <f t="shared" si="1"/>
        <v>1</v>
      </c>
      <c r="D34" s="4" t="str">
        <f t="shared" si="2"/>
        <v>2017 Q1</v>
      </c>
      <c r="E34" s="33">
        <v>-41488.333333333336</v>
      </c>
      <c r="F34" s="31">
        <f t="shared" si="3"/>
        <v>8.409829291808002E-3</v>
      </c>
      <c r="G34" s="31">
        <v>-8.5447239287079358E-3</v>
      </c>
    </row>
    <row r="35" spans="1:7">
      <c r="A35" s="3">
        <v>42826</v>
      </c>
      <c r="B35" s="4">
        <f t="shared" si="0"/>
        <v>2017</v>
      </c>
      <c r="C35" s="4">
        <f t="shared" si="1"/>
        <v>2</v>
      </c>
      <c r="D35" s="4" t="str">
        <f t="shared" si="2"/>
        <v>2017 Q2</v>
      </c>
      <c r="E35" s="33">
        <v>-43597</v>
      </c>
      <c r="F35" s="31">
        <f t="shared" si="3"/>
        <v>5.0825533282448765E-2</v>
      </c>
      <c r="G35" s="31">
        <v>-4.9172605456887118E-4</v>
      </c>
    </row>
    <row r="36" spans="1:7">
      <c r="A36" s="3">
        <v>42917</v>
      </c>
      <c r="B36" s="4">
        <f t="shared" si="0"/>
        <v>2017</v>
      </c>
      <c r="C36" s="4">
        <f t="shared" si="1"/>
        <v>3</v>
      </c>
      <c r="D36" s="4" t="str">
        <f t="shared" si="2"/>
        <v>2017 Q3</v>
      </c>
      <c r="E36" s="33">
        <v>-42279.333333333336</v>
      </c>
      <c r="F36" s="31">
        <f t="shared" si="3"/>
        <v>-3.0223792156952589E-2</v>
      </c>
      <c r="G36" s="31">
        <v>1.9321982560928795E-3</v>
      </c>
    </row>
    <row r="37" spans="1:7">
      <c r="A37" s="3">
        <v>43009</v>
      </c>
      <c r="B37" s="4">
        <f t="shared" si="0"/>
        <v>2017</v>
      </c>
      <c r="C37" s="4">
        <f t="shared" si="1"/>
        <v>4</v>
      </c>
      <c r="D37" s="4" t="str">
        <f t="shared" si="2"/>
        <v>2017 Q4</v>
      </c>
      <c r="E37" s="33">
        <v>-44948.666666666664</v>
      </c>
      <c r="F37" s="31">
        <f t="shared" si="3"/>
        <v>6.3135653353096011E-2</v>
      </c>
      <c r="G37" s="31">
        <v>-6.215148546712978E-3</v>
      </c>
    </row>
    <row r="38" spans="1:7">
      <c r="A38" s="3">
        <v>43101</v>
      </c>
      <c r="B38" s="4">
        <f t="shared" si="0"/>
        <v>2018</v>
      </c>
      <c r="C38" s="4">
        <f t="shared" si="1"/>
        <v>1</v>
      </c>
      <c r="D38" s="4" t="str">
        <f t="shared" si="2"/>
        <v>2018 Q1</v>
      </c>
      <c r="E38" s="33">
        <v>-46457.666666666664</v>
      </c>
      <c r="F38" s="31">
        <f t="shared" si="3"/>
        <v>3.3571629859246777E-2</v>
      </c>
      <c r="G38" s="31">
        <v>-1.8308062967994057E-3</v>
      </c>
    </row>
    <row r="39" spans="1:7">
      <c r="A39" s="3">
        <v>43191</v>
      </c>
      <c r="B39" s="4">
        <f t="shared" si="0"/>
        <v>2018</v>
      </c>
      <c r="C39" s="4">
        <f t="shared" si="1"/>
        <v>2</v>
      </c>
      <c r="D39" s="4" t="str">
        <f t="shared" si="2"/>
        <v>2018 Q2</v>
      </c>
      <c r="E39" s="33">
        <v>-44120.333333333336</v>
      </c>
      <c r="F39" s="31">
        <f t="shared" si="3"/>
        <v>-5.031103585342922E-2</v>
      </c>
      <c r="G39" s="31">
        <v>6.6392840057210153E-3</v>
      </c>
    </row>
    <row r="40" spans="1:7">
      <c r="A40" s="3">
        <v>43282</v>
      </c>
      <c r="B40" s="4">
        <f t="shared" si="0"/>
        <v>2018</v>
      </c>
      <c r="C40" s="4">
        <f t="shared" si="1"/>
        <v>3</v>
      </c>
      <c r="D40" s="4" t="str">
        <f t="shared" si="2"/>
        <v>2018 Q3</v>
      </c>
      <c r="E40" s="33">
        <v>-49931.333333333336</v>
      </c>
      <c r="F40" s="31">
        <f t="shared" si="3"/>
        <v>0.13170798044741283</v>
      </c>
      <c r="G40" s="31">
        <v>-1.1595179855377644E-2</v>
      </c>
    </row>
    <row r="41" spans="1:7">
      <c r="A41" s="3">
        <v>43374</v>
      </c>
      <c r="B41" s="4">
        <f t="shared" si="0"/>
        <v>2018</v>
      </c>
      <c r="C41" s="4">
        <f t="shared" si="1"/>
        <v>4</v>
      </c>
      <c r="D41" s="4" t="str">
        <f t="shared" si="2"/>
        <v>2018 Q4</v>
      </c>
      <c r="E41" s="33">
        <v>-52355.333333333336</v>
      </c>
      <c r="F41" s="31">
        <f t="shared" si="3"/>
        <v>4.8546670761178579E-2</v>
      </c>
      <c r="G41" s="31">
        <v>-8.8134391193104202E-3</v>
      </c>
    </row>
    <row r="42" spans="1:7">
      <c r="A42" s="3">
        <v>43466</v>
      </c>
      <c r="B42" s="4">
        <f t="shared" si="0"/>
        <v>2019</v>
      </c>
      <c r="C42" s="4">
        <f t="shared" si="1"/>
        <v>1</v>
      </c>
      <c r="D42" s="4" t="str">
        <f t="shared" si="2"/>
        <v>2019 Q1</v>
      </c>
      <c r="E42" s="33">
        <v>-48209</v>
      </c>
      <c r="F42" s="31">
        <f t="shared" si="3"/>
        <v>-7.9196006774222338E-2</v>
      </c>
      <c r="G42" s="31">
        <v>4.844964422111811E-3</v>
      </c>
    </row>
    <row r="43" spans="1:7">
      <c r="A43" s="3">
        <v>43556</v>
      </c>
      <c r="B43" s="4">
        <f t="shared" si="0"/>
        <v>2019</v>
      </c>
      <c r="C43" s="4">
        <f t="shared" si="1"/>
        <v>2</v>
      </c>
      <c r="D43" s="4" t="str">
        <f t="shared" si="2"/>
        <v>2019 Q2</v>
      </c>
      <c r="E43" s="33">
        <v>-49668</v>
      </c>
      <c r="F43" s="31">
        <f t="shared" si="3"/>
        <v>3.0264058578273856E-2</v>
      </c>
      <c r="G43" s="31">
        <v>-3.2919252865209938E-3</v>
      </c>
    </row>
    <row r="44" spans="1:7">
      <c r="A44" s="3">
        <v>43647</v>
      </c>
      <c r="B44" s="4">
        <f t="shared" si="0"/>
        <v>2019</v>
      </c>
      <c r="C44" s="4">
        <f t="shared" si="1"/>
        <v>3</v>
      </c>
      <c r="D44" s="4" t="str">
        <f t="shared" si="2"/>
        <v>2019 Q3</v>
      </c>
      <c r="E44" s="33">
        <v>-47237.333333333336</v>
      </c>
      <c r="F44" s="31">
        <f t="shared" si="3"/>
        <v>-4.8938283536012372E-2</v>
      </c>
      <c r="G44" s="31">
        <v>-2.7957402300811049E-6</v>
      </c>
    </row>
    <row r="45" spans="1:7">
      <c r="A45" s="3">
        <v>43739</v>
      </c>
      <c r="B45" s="4">
        <f t="shared" si="0"/>
        <v>2019</v>
      </c>
      <c r="C45" s="4">
        <f t="shared" si="1"/>
        <v>4</v>
      </c>
      <c r="D45" s="4" t="str">
        <f t="shared" si="2"/>
        <v>2019 Q4</v>
      </c>
      <c r="E45" s="33">
        <v>-41351</v>
      </c>
      <c r="F45" s="31">
        <f t="shared" si="3"/>
        <v>-0.12461188890143393</v>
      </c>
      <c r="G45" s="31">
        <v>8.3392927403623252E-3</v>
      </c>
    </row>
    <row r="46" spans="1:7">
      <c r="A46" s="3">
        <v>43831</v>
      </c>
      <c r="B46" s="4">
        <f t="shared" si="0"/>
        <v>2020</v>
      </c>
      <c r="C46" s="4">
        <f t="shared" si="1"/>
        <v>1</v>
      </c>
      <c r="D46" s="4" t="str">
        <f t="shared" si="2"/>
        <v>2020 Q1</v>
      </c>
      <c r="E46" s="33">
        <v>-42792.666666666664</v>
      </c>
      <c r="F46" s="31">
        <f t="shared" si="3"/>
        <v>3.4864130653833314E-2</v>
      </c>
      <c r="G46" s="31">
        <v>2.1524631841668175E-3</v>
      </c>
    </row>
    <row r="47" spans="1:7">
      <c r="A47" s="3">
        <v>43922</v>
      </c>
      <c r="B47" s="4">
        <f t="shared" si="0"/>
        <v>2020</v>
      </c>
      <c r="C47" s="4">
        <f t="shared" si="1"/>
        <v>2</v>
      </c>
      <c r="D47" s="4" t="str">
        <f t="shared" si="2"/>
        <v>2020 Q2</v>
      </c>
      <c r="E47" s="33">
        <v>-52483.333333333336</v>
      </c>
      <c r="F47" s="31">
        <f t="shared" si="3"/>
        <v>0.22645624639735784</v>
      </c>
      <c r="G47" s="31">
        <v>-1.3194867250164631E-2</v>
      </c>
    </row>
    <row r="48" spans="1:7">
      <c r="A48" s="3">
        <v>44013</v>
      </c>
      <c r="B48" s="4">
        <f t="shared" si="0"/>
        <v>2020</v>
      </c>
      <c r="C48" s="4">
        <f t="shared" si="1"/>
        <v>3</v>
      </c>
      <c r="D48" s="4" t="str">
        <f t="shared" si="2"/>
        <v>2020 Q3</v>
      </c>
      <c r="E48" s="33">
        <v>-60021.333333333336</v>
      </c>
      <c r="F48" s="31">
        <f t="shared" si="3"/>
        <v>0.14362654811051123</v>
      </c>
      <c r="G48" s="31">
        <v>1.4162323765269602E-2</v>
      </c>
    </row>
    <row r="49" spans="1:7">
      <c r="A49" s="3">
        <v>44105</v>
      </c>
      <c r="B49" s="4">
        <f t="shared" si="0"/>
        <v>2020</v>
      </c>
      <c r="C49" s="4">
        <f t="shared" si="1"/>
        <v>4</v>
      </c>
      <c r="D49" s="4" t="str">
        <f t="shared" si="2"/>
        <v>2020 Q4</v>
      </c>
      <c r="E49" s="33">
        <v>-62600</v>
      </c>
      <c r="F49" s="31">
        <f t="shared" si="3"/>
        <v>4.2962502221432386E-2</v>
      </c>
      <c r="G49" s="31">
        <v>-1.7834183224316749E-2</v>
      </c>
    </row>
    <row r="50" spans="1:7">
      <c r="A50" s="3">
        <v>44197</v>
      </c>
      <c r="B50" s="4">
        <f t="shared" si="0"/>
        <v>2021</v>
      </c>
      <c r="C50" s="4">
        <f t="shared" si="1"/>
        <v>1</v>
      </c>
      <c r="D50" s="4" t="str">
        <f t="shared" si="2"/>
        <v>2021 Q1</v>
      </c>
      <c r="E50" s="33">
        <v>-65094.333333333336</v>
      </c>
      <c r="F50" s="31">
        <f t="shared" si="3"/>
        <v>3.9845580404685776E-2</v>
      </c>
      <c r="G50" s="31">
        <v>-1.3763796106725928E-2</v>
      </c>
    </row>
    <row r="51" spans="1:7">
      <c r="A51" s="3">
        <v>44287</v>
      </c>
      <c r="B51" s="4">
        <f t="shared" si="0"/>
        <v>2021</v>
      </c>
      <c r="C51" s="4">
        <f t="shared" si="1"/>
        <v>2</v>
      </c>
      <c r="D51" s="4" t="str">
        <f t="shared" si="2"/>
        <v>2021 Q2</v>
      </c>
      <c r="E51" s="33">
        <v>-68212.666666666672</v>
      </c>
      <c r="F51" s="31">
        <f t="shared" si="3"/>
        <v>4.7904835546360935E-2</v>
      </c>
      <c r="G51" s="31">
        <v>-1.2180650688310143E-2</v>
      </c>
    </row>
    <row r="52" spans="1:7">
      <c r="A52" s="3">
        <v>44378</v>
      </c>
      <c r="B52" s="4">
        <f t="shared" si="0"/>
        <v>2021</v>
      </c>
      <c r="C52" s="4">
        <f t="shared" si="1"/>
        <v>3</v>
      </c>
      <c r="D52" s="4" t="str">
        <f t="shared" si="2"/>
        <v>2021 Q3</v>
      </c>
      <c r="E52" s="33">
        <v>-73420.333333333328</v>
      </c>
      <c r="F52" s="31">
        <f t="shared" si="3"/>
        <v>7.6344569434806608E-2</v>
      </c>
      <c r="G52" s="31">
        <v>-1.047023764645456E-2</v>
      </c>
    </row>
    <row r="53" spans="1:7">
      <c r="A53" s="3">
        <v>44470</v>
      </c>
      <c r="B53" s="4">
        <f t="shared" si="0"/>
        <v>2021</v>
      </c>
      <c r="C53" s="4">
        <f t="shared" si="1"/>
        <v>4</v>
      </c>
      <c r="D53" s="4" t="str">
        <f t="shared" si="2"/>
        <v>2021 Q4</v>
      </c>
      <c r="E53" s="33">
        <v>-75962.333333333328</v>
      </c>
      <c r="F53" s="31">
        <f t="shared" si="3"/>
        <v>3.4622561415774911E-2</v>
      </c>
      <c r="G53" s="31">
        <v>-8.1421924712334476E-3</v>
      </c>
    </row>
    <row r="54" spans="1:7">
      <c r="A54" s="3">
        <v>44562</v>
      </c>
      <c r="B54" s="4">
        <f t="shared" si="0"/>
        <v>2022</v>
      </c>
      <c r="C54" s="4">
        <f t="shared" si="1"/>
        <v>1</v>
      </c>
      <c r="D54" s="4" t="str">
        <f t="shared" si="2"/>
        <v>2022 Q1</v>
      </c>
      <c r="E54" s="33">
        <v>-91516.333333333328</v>
      </c>
      <c r="F54" s="31">
        <f t="shared" si="3"/>
        <v>0.20475937635758079</v>
      </c>
      <c r="G54" s="31">
        <v>-1.4826722720568149E-2</v>
      </c>
    </row>
    <row r="55" spans="1:7">
      <c r="A55" s="3">
        <v>44652</v>
      </c>
      <c r="B55" s="4">
        <f t="shared" si="0"/>
        <v>2022</v>
      </c>
      <c r="C55" s="4">
        <f t="shared" si="1"/>
        <v>2</v>
      </c>
      <c r="D55" s="4" t="str">
        <f t="shared" si="2"/>
        <v>2022 Q2</v>
      </c>
      <c r="E55" s="33">
        <v>-83615.333333333328</v>
      </c>
      <c r="F55" s="31">
        <f t="shared" si="3"/>
        <v>-8.6334315550229634E-2</v>
      </c>
      <c r="G55" s="31">
        <v>-2.915888140178461E-3</v>
      </c>
    </row>
    <row r="56" spans="1:7">
      <c r="A56" s="3">
        <v>44743</v>
      </c>
      <c r="B56" s="4">
        <f t="shared" si="0"/>
        <v>2022</v>
      </c>
      <c r="C56" s="4">
        <f t="shared" si="1"/>
        <v>3</v>
      </c>
      <c r="D56" s="4" t="str">
        <f t="shared" si="2"/>
        <v>2022 Q3</v>
      </c>
      <c r="E56" s="33">
        <v>-70259.666666666672</v>
      </c>
      <c r="F56" s="31">
        <f t="shared" si="3"/>
        <v>-0.15972748220023425</v>
      </c>
      <c r="G56" s="31">
        <v>1.0172617962427046E-2</v>
      </c>
    </row>
    <row r="57" spans="1:7">
      <c r="A57" s="3">
        <v>44835</v>
      </c>
      <c r="B57" s="4">
        <f t="shared" si="0"/>
        <v>2022</v>
      </c>
      <c r="C57" s="4">
        <f t="shared" si="1"/>
        <v>4</v>
      </c>
      <c r="D57" s="4" t="str">
        <f t="shared" si="2"/>
        <v>2022 Q4</v>
      </c>
      <c r="E57" s="33">
        <v>-69529.666666666672</v>
      </c>
      <c r="F57" s="31">
        <f t="shared" si="3"/>
        <v>-1.0390029367251974E-2</v>
      </c>
      <c r="G57" s="31">
        <v>1.38934799655408E-2</v>
      </c>
    </row>
    <row r="58" spans="1:7">
      <c r="A58" s="3">
        <v>44927</v>
      </c>
      <c r="B58" s="4">
        <f t="shared" si="0"/>
        <v>2023</v>
      </c>
      <c r="C58" s="4">
        <f t="shared" si="1"/>
        <v>1</v>
      </c>
      <c r="D58" s="4" t="str">
        <f t="shared" si="2"/>
        <v>2023 Q1</v>
      </c>
      <c r="E58" s="33">
        <v>-66934</v>
      </c>
      <c r="F58" s="31">
        <f t="shared" si="3"/>
        <v>-3.7331786431691105E-2</v>
      </c>
      <c r="G58" s="31">
        <v>7.3775351105559942E-3</v>
      </c>
    </row>
    <row r="59" spans="1:7">
      <c r="A59" s="3">
        <v>45017</v>
      </c>
      <c r="B59" s="4">
        <f t="shared" si="0"/>
        <v>2023</v>
      </c>
      <c r="C59" s="4">
        <f t="shared" si="1"/>
        <v>2</v>
      </c>
      <c r="D59" s="4" t="str">
        <f t="shared" si="2"/>
        <v>2023 Q2</v>
      </c>
      <c r="E59" s="33">
        <v>-67876</v>
      </c>
      <c r="F59" s="31">
        <f t="shared" si="3"/>
        <v>1.4073565004332655E-2</v>
      </c>
      <c r="G59" s="31">
        <v>-6.4876957937226847E-4</v>
      </c>
    </row>
    <row r="60" spans="1:7">
      <c r="A60" s="3">
        <v>45108</v>
      </c>
      <c r="B60" s="4">
        <f t="shared" si="0"/>
        <v>2023</v>
      </c>
      <c r="C60" s="4">
        <f t="shared" si="1"/>
        <v>3</v>
      </c>
      <c r="D60" s="4" t="str">
        <f t="shared" si="2"/>
        <v>2023 Q3</v>
      </c>
      <c r="E60" s="33">
        <v>-62153.333333333336</v>
      </c>
      <c r="F60" s="31">
        <f t="shared" si="3"/>
        <v>-8.4310605614159151E-2</v>
      </c>
      <c r="G60" s="31">
        <v>5.8991831793159168E-3</v>
      </c>
    </row>
    <row r="61" spans="1:7">
      <c r="A61" s="3">
        <v>45200</v>
      </c>
      <c r="B61" s="4">
        <f t="shared" si="0"/>
        <v>2023</v>
      </c>
      <c r="C61" s="4">
        <f t="shared" si="1"/>
        <v>4</v>
      </c>
      <c r="D61" s="4" t="str">
        <f t="shared" si="2"/>
        <v>2023 Q4</v>
      </c>
      <c r="E61" s="33">
        <v>-64667.333333333336</v>
      </c>
      <c r="F61" s="31">
        <f t="shared" si="3"/>
        <v>4.0448353534270121E-2</v>
      </c>
      <c r="G61" s="31">
        <v>-1.0310104744207661E-2</v>
      </c>
    </row>
    <row r="62" spans="1:7">
      <c r="A62" s="3">
        <v>45292</v>
      </c>
      <c r="B62" s="4">
        <f t="shared" si="0"/>
        <v>2024</v>
      </c>
      <c r="C62" s="4">
        <f t="shared" si="1"/>
        <v>1</v>
      </c>
      <c r="D62" s="4" t="str">
        <f t="shared" si="2"/>
        <v>2024 Q1</v>
      </c>
      <c r="E62" s="33">
        <v>-67747</v>
      </c>
      <c r="F62" s="31">
        <f t="shared" si="3"/>
        <v>4.7623220379171327E-2</v>
      </c>
      <c r="G62" s="31">
        <v>1.8398828750482783E-4</v>
      </c>
    </row>
    <row r="63" spans="1:7">
      <c r="A63" s="3">
        <v>45383</v>
      </c>
      <c r="B63" s="4">
        <f t="shared" si="0"/>
        <v>2024</v>
      </c>
      <c r="C63" s="4">
        <f t="shared" si="1"/>
        <v>2</v>
      </c>
      <c r="D63" s="4" t="str">
        <f t="shared" si="2"/>
        <v>2024 Q2</v>
      </c>
      <c r="E63" s="33">
        <v>-74408</v>
      </c>
      <c r="F63" s="31">
        <f t="shared" si="3"/>
        <v>9.8321696901707778E-2</v>
      </c>
      <c r="G63" s="31">
        <v>-9.9971048630889455E-3</v>
      </c>
    </row>
    <row r="64" spans="1:7">
      <c r="A64" s="3">
        <v>45474</v>
      </c>
      <c r="B64" s="4">
        <f t="shared" si="0"/>
        <v>2024</v>
      </c>
      <c r="C64" s="4">
        <f t="shared" si="1"/>
        <v>3</v>
      </c>
      <c r="D64" s="4" t="str">
        <f t="shared" si="2"/>
        <v>2024 Q3</v>
      </c>
      <c r="E64" s="33">
        <v>-77777</v>
      </c>
      <c r="F64" s="31">
        <f t="shared" si="3"/>
        <v>4.5277389528007639E-2</v>
      </c>
      <c r="G64" s="31">
        <v>-5.3146579631153015E-3</v>
      </c>
    </row>
    <row r="65" spans="1:7">
      <c r="A65" s="3">
        <v>45566</v>
      </c>
      <c r="B65" s="4">
        <f t="shared" si="0"/>
        <v>2024</v>
      </c>
      <c r="C65" s="4">
        <f t="shared" si="1"/>
        <v>4</v>
      </c>
      <c r="D65" s="4" t="str">
        <f t="shared" si="2"/>
        <v>2024 Q4</v>
      </c>
      <c r="E65" s="33">
        <v>-83486.666666666672</v>
      </c>
      <c r="F65" s="31">
        <f t="shared" si="3"/>
        <v>7.3410734107341113E-2</v>
      </c>
      <c r="G65" s="31">
        <v>-7.9478439860975539E-3</v>
      </c>
    </row>
    <row r="66" spans="1:7">
      <c r="A66" s="3">
        <v>45658</v>
      </c>
      <c r="B66" s="4">
        <v>2025</v>
      </c>
      <c r="C66" s="4">
        <f t="shared" si="1"/>
        <v>1</v>
      </c>
      <c r="D66" s="4" t="str">
        <f t="shared" si="2"/>
        <v>2025 Q1</v>
      </c>
      <c r="E66" s="33">
        <v>-131514</v>
      </c>
      <c r="F66" s="31">
        <f t="shared" si="3"/>
        <v>0.57526950411243294</v>
      </c>
      <c r="G66" s="31">
        <v>-3.4271918534269988E-2</v>
      </c>
    </row>
    <row r="67" spans="1:7">
      <c r="A67" s="3">
        <v>45748</v>
      </c>
      <c r="B67" s="4">
        <v>2025</v>
      </c>
      <c r="C67" s="4">
        <f t="shared" ref="C67:C68" si="4">ROUNDUP(MONTH(A67)/3,0)</f>
        <v>2</v>
      </c>
      <c r="D67" s="4" t="str">
        <f t="shared" ref="D67:D68" si="5">_xlfn.CONCAT(B67, " Q",C67)</f>
        <v>2025 Q2</v>
      </c>
      <c r="E67" s="33">
        <v>-64437</v>
      </c>
      <c r="F67" s="31">
        <f t="shared" si="3"/>
        <v>-0.51003695424061313</v>
      </c>
      <c r="G67" s="31">
        <v>3.3000000000000002E-2</v>
      </c>
    </row>
    <row r="68" spans="1:7">
      <c r="A68" s="3">
        <v>45839</v>
      </c>
      <c r="B68" s="4">
        <f t="shared" ref="B68" si="6">YEAR(A68)</f>
        <v>2025</v>
      </c>
      <c r="C68" s="4">
        <f t="shared" si="4"/>
        <v>3</v>
      </c>
      <c r="D68" s="4" t="str">
        <f t="shared" si="5"/>
        <v>2025 Q3</v>
      </c>
      <c r="E68" s="32">
        <v>-63563</v>
      </c>
      <c r="F68" s="31">
        <f>(E68/E67)-1</f>
        <v>-1.356363579930786E-2</v>
      </c>
      <c r="G68" s="31">
        <v>1.34E-2</v>
      </c>
    </row>
    <row r="69" spans="1:7">
      <c r="A69" s="3">
        <v>45931</v>
      </c>
      <c r="B69" s="4">
        <f t="shared" ref="B69" si="7">YEAR(A69)</f>
        <v>2025</v>
      </c>
      <c r="C69" s="4">
        <f t="shared" ref="C69" si="8">ROUNDUP(MONTH(A69)/3,0)</f>
        <v>4</v>
      </c>
      <c r="D69" s="4" t="str">
        <f t="shared" ref="D69" si="9">_xlfn.CONCAT(B69, " Q",C69)</f>
        <v>2025 Q4</v>
      </c>
      <c r="E69" s="32">
        <v>-51383</v>
      </c>
      <c r="F69" s="31">
        <v>-0.17805203159629435</v>
      </c>
      <c r="G69" s="31">
        <v>2.0522020226978605E-2</v>
      </c>
    </row>
    <row r="70" spans="1:7" ht="12.75">
      <c r="A70" s="3">
        <v>46023</v>
      </c>
      <c r="B70" s="4">
        <f t="shared" ref="B70" si="10">YEAR(A70)</f>
        <v>2026</v>
      </c>
      <c r="C70" s="4">
        <f t="shared" ref="C70" si="11">ROUNDUP(MONTH(A70)/3,0)</f>
        <v>1</v>
      </c>
      <c r="D70" s="4" t="str">
        <f t="shared" ref="D70" si="12">_xlfn.CONCAT(B70, " Q",C70)</f>
        <v>2026 Q1</v>
      </c>
      <c r="E70" s="32">
        <v>-64818.333333333336</v>
      </c>
      <c r="F70" s="31">
        <v>0.42233013498480199</v>
      </c>
      <c r="G70" s="31">
        <v>-2.3E-3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B924A-9722-4D95-BED0-B56C5BE47E67}">
  <sheetPr>
    <tabColor rgb="FFC00000"/>
  </sheetPr>
  <dimension ref="A1:E70"/>
  <sheetViews>
    <sheetView showGridLines="0" zoomScale="130" zoomScaleNormal="130" workbookViewId="0">
      <pane xSplit="4" ySplit="1" topLeftCell="E2" activePane="bottomRight" state="frozen"/>
      <selection pane="bottomRight" activeCell="H26" sqref="H26"/>
      <selection pane="bottomLeft" activeCell="F57" sqref="F57"/>
      <selection pane="topRight" activeCell="F57" sqref="F57"/>
    </sheetView>
  </sheetViews>
  <sheetFormatPr defaultColWidth="10.875" defaultRowHeight="13.15"/>
  <cols>
    <col min="1" max="1" width="10.875" style="4"/>
    <col min="2" max="4" width="12.875" style="4" customWidth="1"/>
    <col min="5" max="16384" width="10.875" style="4"/>
  </cols>
  <sheetData>
    <row r="1" spans="1:5" ht="26.45">
      <c r="A1" s="12" t="s">
        <v>0</v>
      </c>
      <c r="B1" s="12" t="s">
        <v>24</v>
      </c>
      <c r="C1" s="12" t="s">
        <v>25</v>
      </c>
      <c r="D1" s="12" t="s">
        <v>26</v>
      </c>
      <c r="E1" s="15" t="s">
        <v>140</v>
      </c>
    </row>
    <row r="2" spans="1:5">
      <c r="A2" s="3">
        <v>39814</v>
      </c>
      <c r="B2" s="4">
        <f>YEAR(A2)</f>
        <v>2009</v>
      </c>
      <c r="C2" s="4">
        <f>ROUNDUP(MONTH(A2)/3,0)</f>
        <v>1</v>
      </c>
      <c r="D2" s="4" t="str">
        <f>_xlfn.CONCAT(B2, " Q",C2)</f>
        <v>2009 Q1</v>
      </c>
      <c r="E2" s="31">
        <v>-6.5443841967600383E-3</v>
      </c>
    </row>
    <row r="3" spans="1:5">
      <c r="A3" s="3">
        <v>39904</v>
      </c>
      <c r="B3" s="4">
        <f t="shared" ref="B3:B65" si="0">YEAR(A3)</f>
        <v>2009</v>
      </c>
      <c r="C3" s="4">
        <f t="shared" ref="C3:C66" si="1">ROUNDUP(MONTH(A3)/3,0)</f>
        <v>2</v>
      </c>
      <c r="D3" s="4" t="str">
        <f t="shared" ref="D3:D66" si="2">_xlfn.CONCAT(B3, " Q",C3)</f>
        <v>2009 Q2</v>
      </c>
      <c r="E3" s="31">
        <v>-1.1869361426057762E-2</v>
      </c>
    </row>
    <row r="4" spans="1:5">
      <c r="A4" s="3">
        <v>39995</v>
      </c>
      <c r="B4" s="4">
        <f t="shared" si="0"/>
        <v>2009</v>
      </c>
      <c r="C4" s="4">
        <f t="shared" si="1"/>
        <v>3</v>
      </c>
      <c r="D4" s="4" t="str">
        <f t="shared" si="2"/>
        <v>2009 Q3</v>
      </c>
      <c r="E4" s="31">
        <v>-1.7501212334968982E-2</v>
      </c>
    </row>
    <row r="5" spans="1:5">
      <c r="A5" s="3">
        <v>40087</v>
      </c>
      <c r="B5" s="4">
        <f t="shared" si="0"/>
        <v>2009</v>
      </c>
      <c r="C5" s="4">
        <f t="shared" si="1"/>
        <v>4</v>
      </c>
      <c r="D5" s="4" t="str">
        <f t="shared" si="2"/>
        <v>2009 Q4</v>
      </c>
      <c r="E5" s="31">
        <v>2.1163379981024372E-2</v>
      </c>
    </row>
    <row r="6" spans="1:5">
      <c r="A6" s="3">
        <v>40179</v>
      </c>
      <c r="B6" s="4">
        <f t="shared" si="0"/>
        <v>2010</v>
      </c>
      <c r="C6" s="4">
        <f t="shared" si="1"/>
        <v>1</v>
      </c>
      <c r="D6" s="4" t="str">
        <f t="shared" si="2"/>
        <v>2010 Q1</v>
      </c>
      <c r="E6" s="31">
        <v>2.3498642172602936E-2</v>
      </c>
    </row>
    <row r="7" spans="1:5">
      <c r="A7" s="3">
        <v>40269</v>
      </c>
      <c r="B7" s="4">
        <f t="shared" si="0"/>
        <v>2010</v>
      </c>
      <c r="C7" s="4">
        <f t="shared" si="1"/>
        <v>2</v>
      </c>
      <c r="D7" s="4" t="str">
        <f t="shared" si="2"/>
        <v>2010 Q2</v>
      </c>
      <c r="E7" s="31">
        <v>1.4412036377023771E-2</v>
      </c>
    </row>
    <row r="8" spans="1:5">
      <c r="A8" s="3">
        <v>40360</v>
      </c>
      <c r="B8" s="4">
        <f t="shared" si="0"/>
        <v>2010</v>
      </c>
      <c r="C8" s="4">
        <f t="shared" si="1"/>
        <v>3</v>
      </c>
      <c r="D8" s="4" t="str">
        <f t="shared" si="2"/>
        <v>2010 Q3</v>
      </c>
      <c r="E8" s="31">
        <v>2.0017645641733594E-2</v>
      </c>
    </row>
    <row r="9" spans="1:5">
      <c r="A9" s="3">
        <v>40452</v>
      </c>
      <c r="B9" s="4">
        <f t="shared" si="0"/>
        <v>2010</v>
      </c>
      <c r="C9" s="4">
        <f t="shared" si="1"/>
        <v>4</v>
      </c>
      <c r="D9" s="4" t="str">
        <f t="shared" si="2"/>
        <v>2010 Q4</v>
      </c>
      <c r="E9" s="31">
        <v>1.7829500170492327E-2</v>
      </c>
    </row>
    <row r="10" spans="1:5">
      <c r="A10" s="3">
        <v>40544</v>
      </c>
      <c r="B10" s="4">
        <f t="shared" si="0"/>
        <v>2011</v>
      </c>
      <c r="C10" s="4">
        <f t="shared" si="1"/>
        <v>1</v>
      </c>
      <c r="D10" s="4" t="str">
        <f t="shared" si="2"/>
        <v>2011 Q1</v>
      </c>
      <c r="E10" s="31">
        <v>-1.2941901944925178E-2</v>
      </c>
    </row>
    <row r="11" spans="1:5">
      <c r="A11" s="3">
        <v>40634</v>
      </c>
      <c r="B11" s="4">
        <f t="shared" si="0"/>
        <v>2011</v>
      </c>
      <c r="C11" s="4">
        <f t="shared" si="1"/>
        <v>2</v>
      </c>
      <c r="D11" s="4" t="str">
        <f t="shared" si="2"/>
        <v>2011 Q2</v>
      </c>
      <c r="E11" s="31">
        <v>-3.6360689060927856E-6</v>
      </c>
    </row>
    <row r="12" spans="1:5">
      <c r="A12" s="3">
        <v>40725</v>
      </c>
      <c r="B12" s="4">
        <f t="shared" si="0"/>
        <v>2011</v>
      </c>
      <c r="C12" s="4">
        <f t="shared" si="1"/>
        <v>3</v>
      </c>
      <c r="D12" s="4" t="str">
        <f t="shared" si="2"/>
        <v>2011 Q3</v>
      </c>
      <c r="E12" s="31">
        <v>-4.323963029074708E-3</v>
      </c>
    </row>
    <row r="13" spans="1:5">
      <c r="A13" s="3">
        <v>40817</v>
      </c>
      <c r="B13" s="4">
        <f t="shared" si="0"/>
        <v>2011</v>
      </c>
      <c r="C13" s="4">
        <f t="shared" si="1"/>
        <v>4</v>
      </c>
      <c r="D13" s="4" t="str">
        <f t="shared" si="2"/>
        <v>2011 Q4</v>
      </c>
      <c r="E13" s="31">
        <v>-7.6019873562861899E-3</v>
      </c>
    </row>
    <row r="14" spans="1:5">
      <c r="A14" s="3">
        <v>40909</v>
      </c>
      <c r="B14" s="4">
        <f t="shared" si="0"/>
        <v>2012</v>
      </c>
      <c r="C14" s="4">
        <f t="shared" si="1"/>
        <v>1</v>
      </c>
      <c r="D14" s="4" t="str">
        <f t="shared" si="2"/>
        <v>2012 Q1</v>
      </c>
      <c r="E14" s="31">
        <v>2.0031942028911988E-2</v>
      </c>
    </row>
    <row r="15" spans="1:5">
      <c r="A15" s="3">
        <v>41000</v>
      </c>
      <c r="B15" s="4">
        <f t="shared" si="0"/>
        <v>2012</v>
      </c>
      <c r="C15" s="4">
        <f t="shared" si="1"/>
        <v>2</v>
      </c>
      <c r="D15" s="4" t="str">
        <f t="shared" si="2"/>
        <v>2012 Q2</v>
      </c>
      <c r="E15" s="31">
        <v>-7.8112944797653974E-3</v>
      </c>
    </row>
    <row r="16" spans="1:5">
      <c r="A16" s="3">
        <v>41091</v>
      </c>
      <c r="B16" s="4">
        <f t="shared" si="0"/>
        <v>2012</v>
      </c>
      <c r="C16" s="4">
        <f t="shared" si="1"/>
        <v>3</v>
      </c>
      <c r="D16" s="4" t="str">
        <f t="shared" si="2"/>
        <v>2012 Q3</v>
      </c>
      <c r="E16" s="31">
        <v>8.864164661088662E-3</v>
      </c>
    </row>
    <row r="17" spans="1:5">
      <c r="A17" s="3">
        <v>41183</v>
      </c>
      <c r="B17" s="4">
        <f t="shared" si="0"/>
        <v>2012</v>
      </c>
      <c r="C17" s="4">
        <f t="shared" si="1"/>
        <v>4</v>
      </c>
      <c r="D17" s="4" t="str">
        <f t="shared" si="2"/>
        <v>2012 Q4</v>
      </c>
      <c r="E17" s="31">
        <v>-7.4939293152812489E-3</v>
      </c>
    </row>
    <row r="18" spans="1:5">
      <c r="A18" s="3">
        <v>41275</v>
      </c>
      <c r="B18" s="4">
        <f t="shared" si="0"/>
        <v>2013</v>
      </c>
      <c r="C18" s="4">
        <f t="shared" si="1"/>
        <v>1</v>
      </c>
      <c r="D18" s="4" t="str">
        <f t="shared" si="2"/>
        <v>2013 Q1</v>
      </c>
      <c r="E18" s="31">
        <v>-9.0904523587839337E-3</v>
      </c>
    </row>
    <row r="19" spans="1:5">
      <c r="A19" s="3">
        <v>41365</v>
      </c>
      <c r="B19" s="4">
        <f t="shared" si="0"/>
        <v>2013</v>
      </c>
      <c r="C19" s="4">
        <f t="shared" si="1"/>
        <v>2</v>
      </c>
      <c r="D19" s="4" t="str">
        <f t="shared" si="2"/>
        <v>2013 Q2</v>
      </c>
      <c r="E19" s="31">
        <v>3.0734243756143825E-4</v>
      </c>
    </row>
    <row r="20" spans="1:5">
      <c r="A20" s="3">
        <v>41456</v>
      </c>
      <c r="B20" s="4">
        <f t="shared" si="0"/>
        <v>2013</v>
      </c>
      <c r="C20" s="4">
        <f t="shared" si="1"/>
        <v>3</v>
      </c>
      <c r="D20" s="4" t="str">
        <f t="shared" si="2"/>
        <v>2013 Q3</v>
      </c>
      <c r="E20" s="31">
        <v>9.4171668397812595E-3</v>
      </c>
    </row>
    <row r="21" spans="1:5">
      <c r="A21" s="3">
        <v>41548</v>
      </c>
      <c r="B21" s="4">
        <f t="shared" si="0"/>
        <v>2013</v>
      </c>
      <c r="C21" s="4">
        <f t="shared" si="1"/>
        <v>4</v>
      </c>
      <c r="D21" s="4" t="str">
        <f t="shared" si="2"/>
        <v>2013 Q4</v>
      </c>
      <c r="E21" s="31">
        <v>1.3518333717961432E-2</v>
      </c>
    </row>
    <row r="22" spans="1:5">
      <c r="A22" s="3">
        <v>41640</v>
      </c>
      <c r="B22" s="4">
        <f t="shared" si="0"/>
        <v>2014</v>
      </c>
      <c r="C22" s="4">
        <f t="shared" si="1"/>
        <v>1</v>
      </c>
      <c r="D22" s="4" t="str">
        <f t="shared" si="2"/>
        <v>2014 Q1</v>
      </c>
      <c r="E22" s="31">
        <v>-7.191071827073482E-3</v>
      </c>
    </row>
    <row r="23" spans="1:5">
      <c r="A23" s="3">
        <v>41730</v>
      </c>
      <c r="B23" s="4">
        <f t="shared" si="0"/>
        <v>2014</v>
      </c>
      <c r="C23" s="4">
        <f t="shared" si="1"/>
        <v>2</v>
      </c>
      <c r="D23" s="4" t="str">
        <f t="shared" si="2"/>
        <v>2014 Q2</v>
      </c>
      <c r="E23" s="31">
        <v>-6.7134160079641431E-3</v>
      </c>
    </row>
    <row r="24" spans="1:5">
      <c r="A24" s="3">
        <v>41821</v>
      </c>
      <c r="B24" s="4">
        <f t="shared" si="0"/>
        <v>2014</v>
      </c>
      <c r="C24" s="4">
        <f t="shared" si="1"/>
        <v>3</v>
      </c>
      <c r="D24" s="4" t="str">
        <f t="shared" si="2"/>
        <v>2014 Q3</v>
      </c>
      <c r="E24" s="31">
        <v>1.8840561374053762E-3</v>
      </c>
    </row>
    <row r="25" spans="1:5">
      <c r="A25" s="3">
        <v>41913</v>
      </c>
      <c r="B25" s="4">
        <f t="shared" si="0"/>
        <v>2014</v>
      </c>
      <c r="C25" s="4">
        <f t="shared" si="1"/>
        <v>4</v>
      </c>
      <c r="D25" s="4" t="str">
        <f t="shared" si="2"/>
        <v>2014 Q4</v>
      </c>
      <c r="E25" s="31">
        <v>8.3411652074456995E-4</v>
      </c>
    </row>
    <row r="26" spans="1:5">
      <c r="A26" s="3">
        <v>42005</v>
      </c>
      <c r="B26" s="4">
        <f t="shared" si="0"/>
        <v>2015</v>
      </c>
      <c r="C26" s="4">
        <f t="shared" si="1"/>
        <v>1</v>
      </c>
      <c r="D26" s="4" t="str">
        <f t="shared" si="2"/>
        <v>2015 Q1</v>
      </c>
      <c r="E26" s="31">
        <v>-3.1553829385615162E-3</v>
      </c>
    </row>
    <row r="27" spans="1:5">
      <c r="A27" s="3">
        <v>42095</v>
      </c>
      <c r="B27" s="4">
        <f t="shared" si="0"/>
        <v>2015</v>
      </c>
      <c r="C27" s="4">
        <f t="shared" si="1"/>
        <v>2</v>
      </c>
      <c r="D27" s="4" t="str">
        <f t="shared" si="2"/>
        <v>2015 Q2</v>
      </c>
      <c r="E27" s="31">
        <v>1.8287809347547188E-2</v>
      </c>
    </row>
    <row r="28" spans="1:5">
      <c r="A28" s="3">
        <v>42186</v>
      </c>
      <c r="B28" s="4">
        <f t="shared" si="0"/>
        <v>2015</v>
      </c>
      <c r="C28" s="4">
        <f t="shared" si="1"/>
        <v>3</v>
      </c>
      <c r="D28" s="4" t="str">
        <f t="shared" si="2"/>
        <v>2015 Q3</v>
      </c>
      <c r="E28" s="31">
        <v>-1.3785701888463881E-2</v>
      </c>
    </row>
    <row r="29" spans="1:5">
      <c r="A29" s="3">
        <v>42278</v>
      </c>
      <c r="B29" s="4">
        <f t="shared" si="0"/>
        <v>2015</v>
      </c>
      <c r="C29" s="4">
        <f t="shared" si="1"/>
        <v>4</v>
      </c>
      <c r="D29" s="4" t="str">
        <f t="shared" si="2"/>
        <v>2015 Q4</v>
      </c>
      <c r="E29" s="31">
        <v>-4.2475379138719608E-3</v>
      </c>
    </row>
    <row r="30" spans="1:5">
      <c r="A30" s="3">
        <v>42370</v>
      </c>
      <c r="B30" s="4">
        <f t="shared" si="0"/>
        <v>2016</v>
      </c>
      <c r="C30" s="4">
        <f t="shared" si="1"/>
        <v>1</v>
      </c>
      <c r="D30" s="4" t="str">
        <f t="shared" si="2"/>
        <v>2016 Q1</v>
      </c>
      <c r="E30" s="31">
        <v>-3.2444936754805289E-3</v>
      </c>
    </row>
    <row r="31" spans="1:5">
      <c r="A31" s="3">
        <v>42461</v>
      </c>
      <c r="B31" s="4">
        <f t="shared" si="0"/>
        <v>2016</v>
      </c>
      <c r="C31" s="4">
        <f t="shared" si="1"/>
        <v>2</v>
      </c>
      <c r="D31" s="4" t="str">
        <f t="shared" si="2"/>
        <v>2016 Q2</v>
      </c>
      <c r="E31" s="31">
        <v>2.4400911862277551E-3</v>
      </c>
    </row>
    <row r="32" spans="1:5">
      <c r="A32" s="3">
        <v>42552</v>
      </c>
      <c r="B32" s="4">
        <f t="shared" si="0"/>
        <v>2016</v>
      </c>
      <c r="C32" s="4">
        <f t="shared" si="1"/>
        <v>3</v>
      </c>
      <c r="D32" s="4" t="str">
        <f t="shared" si="2"/>
        <v>2016 Q3</v>
      </c>
      <c r="E32" s="31">
        <v>-1.5037278701542636E-2</v>
      </c>
    </row>
    <row r="33" spans="1:5">
      <c r="A33" s="3">
        <v>42644</v>
      </c>
      <c r="B33" s="4">
        <f t="shared" si="0"/>
        <v>2016</v>
      </c>
      <c r="C33" s="4">
        <f t="shared" si="1"/>
        <v>4</v>
      </c>
      <c r="D33" s="4" t="str">
        <f t="shared" si="2"/>
        <v>2016 Q4</v>
      </c>
      <c r="E33" s="31">
        <v>3.0926391493880843E-3</v>
      </c>
    </row>
    <row r="34" spans="1:5">
      <c r="A34" s="3">
        <v>42736</v>
      </c>
      <c r="B34" s="4">
        <f t="shared" si="0"/>
        <v>2017</v>
      </c>
      <c r="C34" s="4">
        <f t="shared" si="1"/>
        <v>1</v>
      </c>
      <c r="D34" s="4" t="str">
        <f t="shared" si="2"/>
        <v>2017 Q1</v>
      </c>
      <c r="E34" s="31">
        <v>5.2733293304707508E-3</v>
      </c>
    </row>
    <row r="35" spans="1:5">
      <c r="A35" s="3">
        <v>42826</v>
      </c>
      <c r="B35" s="4">
        <f t="shared" si="0"/>
        <v>2017</v>
      </c>
      <c r="C35" s="4">
        <f t="shared" si="1"/>
        <v>2</v>
      </c>
      <c r="D35" s="4" t="str">
        <f t="shared" si="2"/>
        <v>2017 Q2</v>
      </c>
      <c r="E35" s="31">
        <v>-8.8202121971025435E-3</v>
      </c>
    </row>
    <row r="36" spans="1:5">
      <c r="A36" s="3">
        <v>42917</v>
      </c>
      <c r="B36" s="4">
        <f t="shared" si="0"/>
        <v>2017</v>
      </c>
      <c r="C36" s="4">
        <f t="shared" si="1"/>
        <v>3</v>
      </c>
      <c r="D36" s="4" t="str">
        <f t="shared" si="2"/>
        <v>2017 Q3</v>
      </c>
      <c r="E36" s="31">
        <v>1.4192775389170589E-2</v>
      </c>
    </row>
    <row r="37" spans="1:5">
      <c r="A37" s="3">
        <v>43009</v>
      </c>
      <c r="B37" s="4">
        <f t="shared" si="0"/>
        <v>2017</v>
      </c>
      <c r="C37" s="4">
        <f t="shared" si="1"/>
        <v>4</v>
      </c>
      <c r="D37" s="4" t="str">
        <f t="shared" si="2"/>
        <v>2017 Q4</v>
      </c>
      <c r="E37" s="31">
        <v>-5.0639880618773654E-3</v>
      </c>
    </row>
    <row r="38" spans="1:5">
      <c r="A38" s="3">
        <v>43101</v>
      </c>
      <c r="B38" s="4">
        <f t="shared" si="0"/>
        <v>2018</v>
      </c>
      <c r="C38" s="4">
        <f t="shared" si="1"/>
        <v>1</v>
      </c>
      <c r="D38" s="4" t="str">
        <f t="shared" si="2"/>
        <v>2018 Q1</v>
      </c>
      <c r="E38" s="31">
        <v>4.9053033078539079E-3</v>
      </c>
    </row>
    <row r="39" spans="1:5">
      <c r="A39" s="3">
        <v>43191</v>
      </c>
      <c r="B39" s="4">
        <f t="shared" si="0"/>
        <v>2018</v>
      </c>
      <c r="C39" s="4">
        <f t="shared" si="1"/>
        <v>2</v>
      </c>
      <c r="D39" s="4" t="str">
        <f t="shared" si="2"/>
        <v>2018 Q2</v>
      </c>
      <c r="E39" s="31">
        <v>-6.0631946025555402E-3</v>
      </c>
    </row>
    <row r="40" spans="1:5">
      <c r="A40" s="3">
        <v>43282</v>
      </c>
      <c r="B40" s="4">
        <f t="shared" si="0"/>
        <v>2018</v>
      </c>
      <c r="C40" s="4">
        <f t="shared" si="1"/>
        <v>3</v>
      </c>
      <c r="D40" s="4" t="str">
        <f t="shared" si="2"/>
        <v>2018 Q3</v>
      </c>
      <c r="E40" s="31">
        <v>6.5705393206013348E-3</v>
      </c>
    </row>
    <row r="41" spans="1:5">
      <c r="A41" s="3">
        <v>43374</v>
      </c>
      <c r="B41" s="4">
        <f t="shared" si="0"/>
        <v>2018</v>
      </c>
      <c r="C41" s="4">
        <f t="shared" si="1"/>
        <v>4</v>
      </c>
      <c r="D41" s="4" t="str">
        <f t="shared" si="2"/>
        <v>2018 Q4</v>
      </c>
      <c r="E41" s="31">
        <v>9.8176809364683617E-3</v>
      </c>
    </row>
    <row r="42" spans="1:5">
      <c r="A42" s="3">
        <v>43466</v>
      </c>
      <c r="B42" s="4">
        <f t="shared" si="0"/>
        <v>2019</v>
      </c>
      <c r="C42" s="4">
        <f t="shared" si="1"/>
        <v>1</v>
      </c>
      <c r="D42" s="4" t="str">
        <f t="shared" si="2"/>
        <v>2019 Q1</v>
      </c>
      <c r="E42" s="31">
        <v>3.0947346649662214E-3</v>
      </c>
    </row>
    <row r="43" spans="1:5">
      <c r="A43" s="3">
        <v>43556</v>
      </c>
      <c r="B43" s="4">
        <f t="shared" si="0"/>
        <v>2019</v>
      </c>
      <c r="C43" s="4">
        <f t="shared" si="1"/>
        <v>2</v>
      </c>
      <c r="D43" s="4" t="str">
        <f t="shared" si="2"/>
        <v>2019 Q2</v>
      </c>
      <c r="E43" s="31">
        <v>-3.6190645488869918E-3</v>
      </c>
    </row>
    <row r="44" spans="1:5">
      <c r="A44" s="3">
        <v>43647</v>
      </c>
      <c r="B44" s="4">
        <f t="shared" si="0"/>
        <v>2019</v>
      </c>
      <c r="C44" s="4">
        <f t="shared" si="1"/>
        <v>3</v>
      </c>
      <c r="D44" s="4" t="str">
        <f t="shared" si="2"/>
        <v>2019 Q3</v>
      </c>
      <c r="E44" s="31">
        <v>-6.9459853633292252E-3</v>
      </c>
    </row>
    <row r="45" spans="1:5">
      <c r="A45" s="3">
        <v>43739</v>
      </c>
      <c r="B45" s="4">
        <f t="shared" si="0"/>
        <v>2019</v>
      </c>
      <c r="C45" s="4">
        <f t="shared" si="1"/>
        <v>4</v>
      </c>
      <c r="D45" s="4" t="str">
        <f t="shared" si="2"/>
        <v>2019 Q4</v>
      </c>
      <c r="E45" s="31">
        <v>-2.4407682394386749E-3</v>
      </c>
    </row>
    <row r="46" spans="1:5">
      <c r="A46" s="3">
        <v>43831</v>
      </c>
      <c r="B46" s="4">
        <f t="shared" si="0"/>
        <v>2020</v>
      </c>
      <c r="C46" s="4">
        <f t="shared" si="1"/>
        <v>1</v>
      </c>
      <c r="D46" s="4" t="str">
        <f t="shared" si="2"/>
        <v>2020 Q1</v>
      </c>
      <c r="E46" s="31">
        <v>-1.2119744872218613E-2</v>
      </c>
    </row>
    <row r="47" spans="1:5">
      <c r="A47" s="3">
        <v>43922</v>
      </c>
      <c r="B47" s="4">
        <f t="shared" si="0"/>
        <v>2020</v>
      </c>
      <c r="C47" s="4">
        <f t="shared" si="1"/>
        <v>2</v>
      </c>
      <c r="D47" s="4" t="str">
        <f t="shared" si="2"/>
        <v>2020 Q2</v>
      </c>
      <c r="E47" s="31">
        <v>-3.3465960563099438E-2</v>
      </c>
    </row>
    <row r="48" spans="1:5">
      <c r="A48" s="3">
        <v>44013</v>
      </c>
      <c r="B48" s="4">
        <f t="shared" si="0"/>
        <v>2020</v>
      </c>
      <c r="C48" s="4">
        <f t="shared" si="1"/>
        <v>3</v>
      </c>
      <c r="D48" s="4" t="str">
        <f t="shared" si="2"/>
        <v>2020 Q3</v>
      </c>
      <c r="E48" s="31">
        <v>1.3233959169800377E-2</v>
      </c>
    </row>
    <row r="49" spans="1:5">
      <c r="A49" s="3">
        <v>44105</v>
      </c>
      <c r="B49" s="4">
        <f t="shared" si="0"/>
        <v>2020</v>
      </c>
      <c r="C49" s="4">
        <f t="shared" si="1"/>
        <v>4</v>
      </c>
      <c r="D49" s="4" t="str">
        <f t="shared" si="2"/>
        <v>2020 Q4</v>
      </c>
      <c r="E49" s="31">
        <v>4.3427902500228342E-2</v>
      </c>
    </row>
    <row r="50" spans="1:5">
      <c r="A50" s="3">
        <v>44197</v>
      </c>
      <c r="B50" s="4">
        <f t="shared" si="0"/>
        <v>2021</v>
      </c>
      <c r="C50" s="4">
        <f t="shared" si="1"/>
        <v>1</v>
      </c>
      <c r="D50" s="4" t="str">
        <f t="shared" si="2"/>
        <v>2021 Q1</v>
      </c>
      <c r="E50" s="31">
        <v>1.0599567873699874E-2</v>
      </c>
    </row>
    <row r="51" spans="1:5">
      <c r="A51" s="3">
        <v>44287</v>
      </c>
      <c r="B51" s="4">
        <f t="shared" si="0"/>
        <v>2021</v>
      </c>
      <c r="C51" s="4">
        <f t="shared" si="1"/>
        <v>2</v>
      </c>
      <c r="D51" s="4" t="str">
        <f t="shared" si="2"/>
        <v>2021 Q2</v>
      </c>
      <c r="E51" s="31">
        <v>-8.7260531614927733E-3</v>
      </c>
    </row>
    <row r="52" spans="1:5">
      <c r="A52" s="3">
        <v>44378</v>
      </c>
      <c r="B52" s="4">
        <f t="shared" si="0"/>
        <v>2021</v>
      </c>
      <c r="C52" s="4">
        <f t="shared" si="1"/>
        <v>3</v>
      </c>
      <c r="D52" s="4" t="str">
        <f t="shared" si="2"/>
        <v>2021 Q3</v>
      </c>
      <c r="E52" s="31">
        <v>1.6683671481533043E-2</v>
      </c>
    </row>
    <row r="53" spans="1:5">
      <c r="A53" s="3">
        <v>44470</v>
      </c>
      <c r="B53" s="4">
        <f t="shared" si="0"/>
        <v>2021</v>
      </c>
      <c r="C53" s="4">
        <f t="shared" si="1"/>
        <v>4</v>
      </c>
      <c r="D53" s="4" t="str">
        <f t="shared" si="2"/>
        <v>2021 Q4</v>
      </c>
      <c r="E53" s="31">
        <v>2.6546069779469546E-2</v>
      </c>
    </row>
    <row r="54" spans="1:5">
      <c r="A54" s="3">
        <v>44562</v>
      </c>
      <c r="B54" s="4">
        <f t="shared" si="0"/>
        <v>2022</v>
      </c>
      <c r="C54" s="4">
        <f t="shared" si="1"/>
        <v>1</v>
      </c>
      <c r="D54" s="4" t="str">
        <f t="shared" si="2"/>
        <v>2022 Q1</v>
      </c>
      <c r="E54" s="31">
        <v>3.4811515753024859E-2</v>
      </c>
    </row>
    <row r="55" spans="1:5">
      <c r="A55" s="3">
        <v>44652</v>
      </c>
      <c r="B55" s="4">
        <f t="shared" si="0"/>
        <v>2022</v>
      </c>
      <c r="C55" s="4">
        <f t="shared" si="1"/>
        <v>2</v>
      </c>
      <c r="D55" s="4" t="str">
        <f t="shared" si="2"/>
        <v>2022 Q2</v>
      </c>
      <c r="E55" s="31">
        <v>-9.8379446544897085E-3</v>
      </c>
    </row>
    <row r="56" spans="1:5">
      <c r="A56" s="3">
        <v>44743</v>
      </c>
      <c r="B56" s="4">
        <f t="shared" si="0"/>
        <v>2022</v>
      </c>
      <c r="C56" s="4">
        <f t="shared" si="1"/>
        <v>3</v>
      </c>
      <c r="D56" s="4" t="str">
        <f t="shared" si="2"/>
        <v>2022 Q3</v>
      </c>
      <c r="E56" s="31">
        <v>-2.4883871034497285E-2</v>
      </c>
    </row>
    <row r="57" spans="1:5">
      <c r="A57" s="3">
        <v>44835</v>
      </c>
      <c r="B57" s="4">
        <f t="shared" si="0"/>
        <v>2022</v>
      </c>
      <c r="C57" s="4">
        <f t="shared" si="1"/>
        <v>4</v>
      </c>
      <c r="D57" s="4" t="str">
        <f t="shared" si="2"/>
        <v>2022 Q4</v>
      </c>
      <c r="E57" s="31">
        <v>-8.2498367381729984E-3</v>
      </c>
    </row>
    <row r="58" spans="1:5">
      <c r="A58" s="3">
        <v>44927</v>
      </c>
      <c r="B58" s="4">
        <f t="shared" si="0"/>
        <v>2023</v>
      </c>
      <c r="C58" s="4">
        <f t="shared" si="1"/>
        <v>1</v>
      </c>
      <c r="D58" s="4" t="str">
        <f t="shared" si="2"/>
        <v>2023 Q1</v>
      </c>
      <c r="E58" s="31">
        <v>1.6484029381243423E-3</v>
      </c>
    </row>
    <row r="59" spans="1:5">
      <c r="A59" s="3">
        <v>45017</v>
      </c>
      <c r="B59" s="4">
        <f t="shared" si="0"/>
        <v>2023</v>
      </c>
      <c r="C59" s="4">
        <f t="shared" si="1"/>
        <v>2</v>
      </c>
      <c r="D59" s="4" t="str">
        <f t="shared" si="2"/>
        <v>2023 Q2</v>
      </c>
      <c r="E59" s="31">
        <v>-1.4553797560823914E-2</v>
      </c>
    </row>
    <row r="60" spans="1:5">
      <c r="A60" s="3">
        <v>45108</v>
      </c>
      <c r="B60" s="4">
        <f t="shared" si="0"/>
        <v>2023</v>
      </c>
      <c r="C60" s="4">
        <f t="shared" si="1"/>
        <v>3</v>
      </c>
      <c r="D60" s="4" t="str">
        <f t="shared" si="2"/>
        <v>2023 Q3</v>
      </c>
      <c r="E60" s="31">
        <v>3.9704191907873288E-3</v>
      </c>
    </row>
    <row r="61" spans="1:5">
      <c r="A61" s="3">
        <v>45200</v>
      </c>
      <c r="B61" s="4">
        <f t="shared" si="0"/>
        <v>2023</v>
      </c>
      <c r="C61" s="4">
        <f t="shared" si="1"/>
        <v>4</v>
      </c>
      <c r="D61" s="4" t="str">
        <f t="shared" si="2"/>
        <v>2023 Q4</v>
      </c>
      <c r="E61" s="31">
        <v>1.8418856130649197E-3</v>
      </c>
    </row>
    <row r="62" spans="1:5">
      <c r="A62" s="3">
        <v>45292</v>
      </c>
      <c r="B62" s="4">
        <f t="shared" si="0"/>
        <v>2024</v>
      </c>
      <c r="C62" s="4">
        <f t="shared" si="1"/>
        <v>1</v>
      </c>
      <c r="D62" s="4" t="str">
        <f t="shared" si="2"/>
        <v>2024 Q1</v>
      </c>
      <c r="E62" s="31">
        <v>-5.7894538680946855E-4</v>
      </c>
    </row>
    <row r="63" spans="1:5">
      <c r="A63" s="3">
        <v>45383</v>
      </c>
      <c r="B63" s="4">
        <f t="shared" si="0"/>
        <v>2024</v>
      </c>
      <c r="C63" s="4">
        <f t="shared" si="1"/>
        <v>2</v>
      </c>
      <c r="D63" s="4" t="str">
        <f t="shared" si="2"/>
        <v>2024 Q2</v>
      </c>
      <c r="E63" s="31">
        <v>2.026617496320418E-3</v>
      </c>
    </row>
    <row r="64" spans="1:5">
      <c r="A64" s="3">
        <v>45474</v>
      </c>
      <c r="B64" s="4">
        <f t="shared" si="0"/>
        <v>2024</v>
      </c>
      <c r="C64" s="4">
        <f t="shared" si="1"/>
        <v>3</v>
      </c>
      <c r="D64" s="4" t="str">
        <f t="shared" si="2"/>
        <v>2024 Q3</v>
      </c>
      <c r="E64" s="31">
        <v>5.321772702459618E-3</v>
      </c>
    </row>
    <row r="65" spans="1:5">
      <c r="A65" s="3">
        <v>45566</v>
      </c>
      <c r="B65" s="4">
        <f t="shared" si="0"/>
        <v>2024</v>
      </c>
      <c r="C65" s="4">
        <f t="shared" si="1"/>
        <v>4</v>
      </c>
      <c r="D65" s="4" t="str">
        <f t="shared" si="2"/>
        <v>2024 Q4</v>
      </c>
      <c r="E65" s="31">
        <v>-7.6372624125359495E-3</v>
      </c>
    </row>
    <row r="66" spans="1:5">
      <c r="A66" s="3">
        <v>45658</v>
      </c>
      <c r="B66" s="4">
        <v>2025</v>
      </c>
      <c r="C66" s="4">
        <f t="shared" si="1"/>
        <v>1</v>
      </c>
      <c r="D66" s="4" t="str">
        <f t="shared" si="2"/>
        <v>2025 Q1</v>
      </c>
      <c r="E66" s="31">
        <v>1.3895197069327171E-3</v>
      </c>
    </row>
    <row r="67" spans="1:5">
      <c r="A67" s="3">
        <v>45748</v>
      </c>
      <c r="B67" s="4">
        <v>2025</v>
      </c>
      <c r="C67" s="4">
        <f t="shared" ref="C67:C69" si="3">ROUNDUP(MONTH(A67)/3,0)</f>
        <v>2</v>
      </c>
      <c r="D67" s="4" t="str">
        <f t="shared" ref="D67:D69" si="4">_xlfn.CONCAT(B67, " Q",C67)</f>
        <v>2025 Q2</v>
      </c>
      <c r="E67" s="31">
        <v>1.0132039923031836E-2</v>
      </c>
    </row>
    <row r="68" spans="1:5">
      <c r="A68" s="3">
        <v>45839</v>
      </c>
      <c r="B68" s="4">
        <f t="shared" ref="B68:B69" si="5">YEAR(A68)</f>
        <v>2025</v>
      </c>
      <c r="C68" s="4">
        <f t="shared" si="3"/>
        <v>3</v>
      </c>
      <c r="D68" s="4" t="str">
        <f t="shared" si="4"/>
        <v>2025 Q3</v>
      </c>
      <c r="E68" s="31">
        <v>-1.7430732156822216E-2</v>
      </c>
    </row>
    <row r="69" spans="1:5">
      <c r="A69" s="3">
        <v>45931</v>
      </c>
      <c r="B69" s="4">
        <f t="shared" si="5"/>
        <v>2025</v>
      </c>
      <c r="C69" s="4">
        <f t="shared" si="3"/>
        <v>4</v>
      </c>
      <c r="D69" s="4" t="str">
        <f t="shared" si="4"/>
        <v>2025 Q4</v>
      </c>
      <c r="E69" s="31">
        <v>7.672457029934375E-3</v>
      </c>
    </row>
    <row r="70" spans="1:5">
      <c r="A70" s="3">
        <v>46023</v>
      </c>
      <c r="B70" s="4">
        <f t="shared" ref="B70" si="6">YEAR(A70)</f>
        <v>2026</v>
      </c>
      <c r="C70" s="4">
        <f t="shared" ref="C70" si="7">ROUNDUP(MONTH(A70)/3,0)</f>
        <v>1</v>
      </c>
      <c r="D70" s="4" t="str">
        <f t="shared" ref="D70" si="8">_xlfn.CONCAT(B70, " Q",C70)</f>
        <v>2026 Q1</v>
      </c>
      <c r="E70" s="31">
        <v>-2.2000000000000001E-3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Jake Schneider</dc:creator>
  <cp:keywords/>
  <dc:description/>
  <cp:lastModifiedBy/>
  <cp:revision/>
  <dcterms:created xsi:type="dcterms:W3CDTF">2025-04-07T19:19:26Z</dcterms:created>
  <dcterms:modified xsi:type="dcterms:W3CDTF">2026-04-06T19:25:09Z</dcterms:modified>
  <cp:category/>
  <cp:contentStatus/>
</cp:coreProperties>
</file>